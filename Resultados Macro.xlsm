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eso01-my.sharepoint.com/personal/if710183_iteso_mx/Documents/IFI/8 Octavo/PAP/Plantas_Intermitentes/"/>
    </mc:Choice>
  </mc:AlternateContent>
  <xr:revisionPtr revIDLastSave="0" documentId="8_{91D020E4-0017-8A4C-825F-D05B954A4A86}" xr6:coauthVersionLast="45" xr6:coauthVersionMax="45" xr10:uidLastSave="{00000000-0000-0000-0000-000000000000}"/>
  <bookViews>
    <workbookView xWindow="0" yWindow="0" windowWidth="28800" windowHeight="18000" firstSheet="1" activeTab="2" xr2:uid="{48C810BF-ADA3-654D-BB3A-0887E742CF2D}"/>
  </bookViews>
  <sheets>
    <sheet name="GICIS306" sheetId="13" r:id="rId1"/>
    <sheet name="GICIS307" sheetId="7" r:id="rId2"/>
    <sheet name="GICIS308" sheetId="1" r:id="rId3"/>
    <sheet name="GICIS309" sheetId="3" r:id="rId4"/>
    <sheet name="GICIS310" sheetId="4" r:id="rId5"/>
    <sheet name="GICIS311" sheetId="6" r:id="rId6"/>
    <sheet name="GICIS312" sheetId="8" r:id="rId7"/>
    <sheet name="GICIS313" sheetId="9" r:id="rId8"/>
    <sheet name="GICIS314" sheetId="10" r:id="rId9"/>
    <sheet name="GICIS315" sheetId="11" r:id="rId10"/>
    <sheet name="GICIS316" sheetId="12" r:id="rId11"/>
    <sheet name="GICIS317" sheetId="14" r:id="rId12"/>
    <sheet name="GICIS318" sheetId="15" r:id="rId13"/>
    <sheet name="GICIS319" sheetId="16" r:id="rId14"/>
    <sheet name="GICIS320" sheetId="17" r:id="rId15"/>
    <sheet name="GICIS321" sheetId="18" r:id="rId16"/>
    <sheet name="GICIS322" sheetId="19" r:id="rId17"/>
    <sheet name="GICIS323" sheetId="24" r:id="rId18"/>
    <sheet name="GICIS324" sheetId="25" r:id="rId19"/>
    <sheet name="GICIS325" sheetId="26" r:id="rId20"/>
    <sheet name="GICIS326" sheetId="27" r:id="rId21"/>
  </sheets>
  <definedNames>
    <definedName name="_xlchart.v1.0" hidden="1">GICIS308!$F$13:$F$17</definedName>
    <definedName name="_xlchart.v1.1" hidden="1">GICIS308!$F$41:$F$45</definedName>
    <definedName name="_xlchart.v1.10" hidden="1">GICIS308!$F$41:$F$45</definedName>
    <definedName name="_xlchart.v1.11" hidden="1">GICIS308!$G$13:$G$17</definedName>
    <definedName name="_xlchart.v1.12" hidden="1">GICIS308!$G$41:$G$45</definedName>
    <definedName name="_xlchart.v1.13" hidden="1">GICIS308!$O$13:$O$17</definedName>
    <definedName name="_xlchart.v1.14" hidden="1">GICIS308!$F$13:$F$17</definedName>
    <definedName name="_xlchart.v1.15" hidden="1">GICIS308!$G$13:$G$17</definedName>
    <definedName name="_xlchart.v1.16" hidden="1">GICIS308!$G$41:$G$45</definedName>
    <definedName name="_xlchart.v1.17" hidden="1">GICIS308!$O$13:$O$17</definedName>
    <definedName name="_xlchart.v1.18" hidden="1">GICIS308!$F$13:$F$17</definedName>
    <definedName name="_xlchart.v1.19" hidden="1">GICIS308!$F$41:$F$45</definedName>
    <definedName name="_xlchart.v1.2" hidden="1">GICIS308!$G$13:$G$17</definedName>
    <definedName name="_xlchart.v1.20" hidden="1">GICIS308!$G$13:$G$17</definedName>
    <definedName name="_xlchart.v1.21" hidden="1">GICIS308!$G$41:$G$45</definedName>
    <definedName name="_xlchart.v1.22" hidden="1">GICIS308!$O$13:$O$17</definedName>
    <definedName name="_xlchart.v1.23" hidden="1">GICIS308!$F$13:$F$17</definedName>
    <definedName name="_xlchart.v1.24" hidden="1">GICIS308!$G$13:$G$17</definedName>
    <definedName name="_xlchart.v1.25" hidden="1">GICIS308!$G$41:$G$45</definedName>
    <definedName name="_xlchart.v1.26" hidden="1">GICIS308!$O$13:$O$17</definedName>
    <definedName name="_xlchart.v1.3" hidden="1">GICIS308!$G$41:$G$45</definedName>
    <definedName name="_xlchart.v1.4" hidden="1">GICIS308!$O$13:$O$17</definedName>
    <definedName name="_xlchart.v1.5" hidden="1">GICIS308!$F$13:$F$17</definedName>
    <definedName name="_xlchart.v1.6" hidden="1">GICIS308!$G$13:$G$17</definedName>
    <definedName name="_xlchart.v1.7" hidden="1">GICIS308!$G$41:$G$45</definedName>
    <definedName name="_xlchart.v1.8" hidden="1">GICIS308!$O$13:$O$17</definedName>
    <definedName name="_xlchart.v1.9" hidden="1">GICIS308!$F$13:$F$17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9" i="3" l="1"/>
  <c r="O9" i="1"/>
  <c r="D20" i="7"/>
  <c r="G45" i="16" l="1"/>
  <c r="G50" i="27" l="1"/>
  <c r="G48" i="27"/>
  <c r="G45" i="27"/>
  <c r="G44" i="27"/>
  <c r="G43" i="27"/>
  <c r="G42" i="27"/>
  <c r="G41" i="27"/>
  <c r="G39" i="27"/>
  <c r="G38" i="27"/>
  <c r="G37" i="27"/>
  <c r="O22" i="27"/>
  <c r="G22" i="27"/>
  <c r="G9" i="27" s="1"/>
  <c r="O20" i="27"/>
  <c r="G20" i="27"/>
  <c r="O17" i="27"/>
  <c r="G17" i="27"/>
  <c r="O16" i="27"/>
  <c r="G16" i="27"/>
  <c r="O15" i="27"/>
  <c r="G15" i="27"/>
  <c r="O14" i="27"/>
  <c r="G14" i="27"/>
  <c r="O13" i="27"/>
  <c r="G13" i="27"/>
  <c r="O11" i="27"/>
  <c r="G11" i="27"/>
  <c r="O10" i="27"/>
  <c r="G10" i="27"/>
  <c r="I5" i="27"/>
  <c r="G50" i="26"/>
  <c r="G48" i="26"/>
  <c r="G45" i="26"/>
  <c r="G44" i="26"/>
  <c r="G43" i="26"/>
  <c r="G42" i="26"/>
  <c r="G41" i="26"/>
  <c r="G39" i="26"/>
  <c r="G38" i="26"/>
  <c r="G37" i="26"/>
  <c r="O22" i="26"/>
  <c r="O9" i="26" s="1"/>
  <c r="G22" i="26"/>
  <c r="G9" i="26" s="1"/>
  <c r="O20" i="26"/>
  <c r="G20" i="26"/>
  <c r="O17" i="26"/>
  <c r="G17" i="26"/>
  <c r="O16" i="26"/>
  <c r="G16" i="26"/>
  <c r="O15" i="26"/>
  <c r="G15" i="26"/>
  <c r="O14" i="26"/>
  <c r="G14" i="26"/>
  <c r="O13" i="26"/>
  <c r="G13" i="26"/>
  <c r="O11" i="26"/>
  <c r="G11" i="26"/>
  <c r="O10" i="26"/>
  <c r="G10" i="26"/>
  <c r="I5" i="26"/>
  <c r="G44" i="25"/>
  <c r="G50" i="25"/>
  <c r="G43" i="25"/>
  <c r="G48" i="25"/>
  <c r="G42" i="25"/>
  <c r="G45" i="25"/>
  <c r="G38" i="25"/>
  <c r="G39" i="25"/>
  <c r="G17" i="25"/>
  <c r="G16" i="25"/>
  <c r="O22" i="25"/>
  <c r="G22" i="25"/>
  <c r="O20" i="25"/>
  <c r="G20" i="25"/>
  <c r="O14" i="25"/>
  <c r="G14" i="25"/>
  <c r="O17" i="25"/>
  <c r="O16" i="25"/>
  <c r="O11" i="25"/>
  <c r="O15" i="25"/>
  <c r="G15" i="25"/>
  <c r="G13" i="25"/>
  <c r="G10" i="25"/>
  <c r="I5" i="25"/>
  <c r="O9" i="27" l="1"/>
  <c r="G37" i="25"/>
  <c r="G9" i="25"/>
  <c r="O9" i="25"/>
  <c r="O10" i="25"/>
  <c r="O13" i="25"/>
  <c r="G41" i="25"/>
  <c r="G11" i="25"/>
  <c r="D55" i="24"/>
  <c r="G45" i="24" s="1"/>
  <c r="D54" i="24"/>
  <c r="D53" i="24"/>
  <c r="D52" i="24"/>
  <c r="D51" i="24"/>
  <c r="D50" i="24"/>
  <c r="G43" i="24" s="1"/>
  <c r="D49" i="24"/>
  <c r="D48" i="24"/>
  <c r="D47" i="24"/>
  <c r="G39" i="24" s="1"/>
  <c r="D46" i="24"/>
  <c r="D45" i="24"/>
  <c r="D44" i="24"/>
  <c r="L27" i="24"/>
  <c r="L26" i="24"/>
  <c r="L25" i="24"/>
  <c r="L24" i="24"/>
  <c r="O16" i="24" s="1"/>
  <c r="L23" i="24"/>
  <c r="L22" i="24"/>
  <c r="L21" i="24"/>
  <c r="L20" i="24"/>
  <c r="O14" i="24" s="1"/>
  <c r="L19" i="24"/>
  <c r="L18" i="24"/>
  <c r="L17" i="24"/>
  <c r="L16" i="24"/>
  <c r="O11" i="24" s="1"/>
  <c r="D27" i="24"/>
  <c r="D26" i="24"/>
  <c r="D25" i="24"/>
  <c r="D24" i="24"/>
  <c r="G16" i="24" s="1"/>
  <c r="D23" i="24"/>
  <c r="D22" i="24"/>
  <c r="D21" i="24"/>
  <c r="G15" i="24" s="1"/>
  <c r="D20" i="24"/>
  <c r="G14" i="24" s="1"/>
  <c r="D19" i="24"/>
  <c r="D18" i="24"/>
  <c r="D17" i="24"/>
  <c r="D16" i="24"/>
  <c r="G13" i="24" s="1"/>
  <c r="G44" i="24"/>
  <c r="G50" i="24"/>
  <c r="G48" i="24"/>
  <c r="G42" i="24"/>
  <c r="G41" i="24"/>
  <c r="G38" i="24"/>
  <c r="O22" i="24"/>
  <c r="G22" i="24"/>
  <c r="O20" i="24"/>
  <c r="G20" i="24"/>
  <c r="O17" i="24"/>
  <c r="G17" i="24"/>
  <c r="O15" i="24"/>
  <c r="O13" i="24"/>
  <c r="I5" i="24"/>
  <c r="G37" i="19"/>
  <c r="O9" i="19"/>
  <c r="G9" i="19"/>
  <c r="G37" i="18"/>
  <c r="O9" i="18"/>
  <c r="G9" i="18"/>
  <c r="G37" i="17"/>
  <c r="O9" i="17"/>
  <c r="G9" i="17"/>
  <c r="O9" i="16"/>
  <c r="G9" i="16"/>
  <c r="G9" i="15"/>
  <c r="G37" i="16"/>
  <c r="O9" i="15"/>
  <c r="G37" i="15"/>
  <c r="O9" i="14"/>
  <c r="G9" i="14"/>
  <c r="G37" i="14"/>
  <c r="O9" i="12"/>
  <c r="G9" i="12"/>
  <c r="G37" i="12"/>
  <c r="G37" i="11"/>
  <c r="O9" i="11"/>
  <c r="G9" i="11"/>
  <c r="G37" i="10"/>
  <c r="O9" i="10"/>
  <c r="G9" i="10"/>
  <c r="G37" i="9"/>
  <c r="O9" i="9"/>
  <c r="G9" i="9"/>
  <c r="G37" i="8"/>
  <c r="O9" i="8"/>
  <c r="G9" i="8"/>
  <c r="G37" i="6"/>
  <c r="O9" i="6"/>
  <c r="G9" i="6"/>
  <c r="G37" i="4"/>
  <c r="O9" i="4"/>
  <c r="G9" i="4"/>
  <c r="G37" i="3"/>
  <c r="G9" i="3"/>
  <c r="G37" i="1"/>
  <c r="G9" i="1"/>
  <c r="G37" i="7"/>
  <c r="O9" i="7"/>
  <c r="G9" i="7"/>
  <c r="G37" i="13"/>
  <c r="O9" i="13"/>
  <c r="G9" i="13"/>
  <c r="O22" i="19"/>
  <c r="O20" i="19"/>
  <c r="G44" i="19"/>
  <c r="G39" i="19"/>
  <c r="G50" i="19"/>
  <c r="G48" i="19"/>
  <c r="G42" i="19"/>
  <c r="G45" i="19"/>
  <c r="G41" i="19"/>
  <c r="G43" i="19"/>
  <c r="G38" i="19"/>
  <c r="G16" i="19"/>
  <c r="G22" i="19"/>
  <c r="G15" i="19"/>
  <c r="G20" i="19"/>
  <c r="O11" i="19"/>
  <c r="O17" i="19"/>
  <c r="G17" i="19"/>
  <c r="O16" i="19"/>
  <c r="G13" i="19"/>
  <c r="O15" i="19"/>
  <c r="G14" i="19"/>
  <c r="O13" i="19"/>
  <c r="G11" i="19"/>
  <c r="O10" i="19"/>
  <c r="I5" i="19"/>
  <c r="D54" i="18"/>
  <c r="D53" i="18"/>
  <c r="D52" i="18"/>
  <c r="D51" i="18"/>
  <c r="D50" i="18"/>
  <c r="D49" i="18"/>
  <c r="G43" i="18" s="1"/>
  <c r="D48" i="18"/>
  <c r="D47" i="18"/>
  <c r="D46" i="18"/>
  <c r="D45" i="18"/>
  <c r="D44" i="18"/>
  <c r="G38" i="18" s="1"/>
  <c r="L26" i="18"/>
  <c r="L25" i="18"/>
  <c r="L24" i="18"/>
  <c r="L23" i="18"/>
  <c r="O15" i="18" s="1"/>
  <c r="L22" i="18"/>
  <c r="L21" i="18"/>
  <c r="L20" i="18"/>
  <c r="L19" i="18"/>
  <c r="O14" i="18" s="1"/>
  <c r="L18" i="18"/>
  <c r="L17" i="18"/>
  <c r="L16" i="18"/>
  <c r="O11" i="18" s="1"/>
  <c r="D26" i="18"/>
  <c r="D25" i="18"/>
  <c r="D24" i="18"/>
  <c r="G16" i="18" s="1"/>
  <c r="D23" i="18"/>
  <c r="G15" i="18" s="1"/>
  <c r="D22" i="18"/>
  <c r="D21" i="18"/>
  <c r="D20" i="18"/>
  <c r="D19" i="18"/>
  <c r="G10" i="18" s="1"/>
  <c r="D18" i="18"/>
  <c r="D17" i="18"/>
  <c r="D16" i="18"/>
  <c r="G13" i="18" s="1"/>
  <c r="G44" i="18"/>
  <c r="G50" i="18"/>
  <c r="G48" i="18"/>
  <c r="G42" i="18"/>
  <c r="G45" i="18"/>
  <c r="G17" i="18"/>
  <c r="O22" i="18"/>
  <c r="G22" i="18"/>
  <c r="O20" i="18"/>
  <c r="G20" i="18"/>
  <c r="G14" i="18"/>
  <c r="O17" i="18"/>
  <c r="O16" i="18"/>
  <c r="I5" i="18"/>
  <c r="D55" i="17"/>
  <c r="D54" i="17"/>
  <c r="D53" i="17"/>
  <c r="D52" i="17"/>
  <c r="G44" i="17" s="1"/>
  <c r="D51" i="17"/>
  <c r="D50" i="17"/>
  <c r="D49" i="17"/>
  <c r="D48" i="17"/>
  <c r="G42" i="17" s="1"/>
  <c r="D47" i="17"/>
  <c r="D46" i="17"/>
  <c r="D45" i="17"/>
  <c r="D44" i="17"/>
  <c r="G39" i="17" s="1"/>
  <c r="L27" i="17"/>
  <c r="L26" i="17"/>
  <c r="L25" i="17"/>
  <c r="L24" i="17"/>
  <c r="O16" i="17" s="1"/>
  <c r="L23" i="17"/>
  <c r="L22" i="17"/>
  <c r="L21" i="17"/>
  <c r="O15" i="17" s="1"/>
  <c r="L20" i="17"/>
  <c r="O14" i="17" s="1"/>
  <c r="L19" i="17"/>
  <c r="L18" i="17"/>
  <c r="L17" i="17"/>
  <c r="L16" i="17"/>
  <c r="O13" i="17" s="1"/>
  <c r="D27" i="17"/>
  <c r="D26" i="17"/>
  <c r="D25" i="17"/>
  <c r="D24" i="17"/>
  <c r="G16" i="17" s="1"/>
  <c r="D23" i="17"/>
  <c r="D22" i="17"/>
  <c r="D21" i="17"/>
  <c r="D20" i="17"/>
  <c r="D19" i="17"/>
  <c r="D18" i="17"/>
  <c r="D17" i="17"/>
  <c r="D16" i="17"/>
  <c r="G13" i="17" s="1"/>
  <c r="G15" i="17"/>
  <c r="G10" i="17"/>
  <c r="G43" i="17"/>
  <c r="L27" i="16"/>
  <c r="L26" i="16"/>
  <c r="L25" i="16"/>
  <c r="L24" i="16"/>
  <c r="L23" i="16"/>
  <c r="L22" i="16"/>
  <c r="L21" i="16"/>
  <c r="L20" i="16"/>
  <c r="L19" i="16"/>
  <c r="O14" i="16" s="1"/>
  <c r="L18" i="16"/>
  <c r="L17" i="16"/>
  <c r="L16" i="16"/>
  <c r="D27" i="16"/>
  <c r="D26" i="16"/>
  <c r="D25" i="16"/>
  <c r="D24" i="16"/>
  <c r="D23" i="16"/>
  <c r="D22" i="16"/>
  <c r="D21" i="16"/>
  <c r="G15" i="16" s="1"/>
  <c r="D20" i="16"/>
  <c r="D19" i="16"/>
  <c r="D18" i="16"/>
  <c r="D17" i="16"/>
  <c r="D16" i="16"/>
  <c r="G13" i="16" s="1"/>
  <c r="D55" i="15"/>
  <c r="D54" i="15"/>
  <c r="D53" i="15"/>
  <c r="D52" i="15"/>
  <c r="D51" i="15"/>
  <c r="D50" i="15"/>
  <c r="D49" i="15"/>
  <c r="G43" i="15" s="1"/>
  <c r="D48" i="15"/>
  <c r="G42" i="15" s="1"/>
  <c r="D47" i="15"/>
  <c r="D46" i="15"/>
  <c r="D45" i="15"/>
  <c r="D44" i="15"/>
  <c r="G38" i="15" s="1"/>
  <c r="L27" i="15"/>
  <c r="L26" i="15"/>
  <c r="L25" i="15"/>
  <c r="L24" i="15"/>
  <c r="L23" i="15"/>
  <c r="L22" i="15"/>
  <c r="L21" i="15"/>
  <c r="L20" i="15"/>
  <c r="O14" i="15" s="1"/>
  <c r="L19" i="15"/>
  <c r="L18" i="15"/>
  <c r="L17" i="15"/>
  <c r="L16" i="15"/>
  <c r="O11" i="15" s="1"/>
  <c r="D27" i="15"/>
  <c r="D26" i="15"/>
  <c r="D25" i="15"/>
  <c r="D24" i="15"/>
  <c r="G16" i="15" s="1"/>
  <c r="D23" i="15"/>
  <c r="D22" i="15"/>
  <c r="D21" i="15"/>
  <c r="D20" i="15"/>
  <c r="G14" i="15" s="1"/>
  <c r="D19" i="15"/>
  <c r="D18" i="15"/>
  <c r="D17" i="15"/>
  <c r="D16" i="15"/>
  <c r="G11" i="15" s="1"/>
  <c r="D54" i="14"/>
  <c r="D53" i="14"/>
  <c r="D52" i="14"/>
  <c r="D51" i="14"/>
  <c r="G43" i="14" s="1"/>
  <c r="D50" i="14"/>
  <c r="D49" i="14"/>
  <c r="D48" i="14"/>
  <c r="D47" i="14"/>
  <c r="G38" i="14" s="1"/>
  <c r="D46" i="14"/>
  <c r="D45" i="14"/>
  <c r="D44" i="14"/>
  <c r="L26" i="14"/>
  <c r="L25" i="14"/>
  <c r="L24" i="14"/>
  <c r="O16" i="14" s="1"/>
  <c r="L23" i="14"/>
  <c r="L22" i="14"/>
  <c r="L21" i="14"/>
  <c r="L20" i="14"/>
  <c r="L19" i="14"/>
  <c r="L18" i="14"/>
  <c r="O14" i="14" s="1"/>
  <c r="L17" i="14"/>
  <c r="L16" i="14"/>
  <c r="O10" i="14" s="1"/>
  <c r="D26" i="14"/>
  <c r="D25" i="14"/>
  <c r="D24" i="14"/>
  <c r="D23" i="14"/>
  <c r="G15" i="14" s="1"/>
  <c r="D22" i="14"/>
  <c r="D21" i="14"/>
  <c r="D20" i="14"/>
  <c r="D19" i="14"/>
  <c r="G10" i="14" s="1"/>
  <c r="D18" i="14"/>
  <c r="D17" i="14"/>
  <c r="D16" i="14"/>
  <c r="G13" i="14" s="1"/>
  <c r="D55" i="12"/>
  <c r="D54" i="12"/>
  <c r="D53" i="12"/>
  <c r="D52" i="12"/>
  <c r="G44" i="12" s="1"/>
  <c r="D51" i="12"/>
  <c r="D50" i="12"/>
  <c r="D49" i="12"/>
  <c r="D48" i="12"/>
  <c r="G42" i="12" s="1"/>
  <c r="D47" i="12"/>
  <c r="D46" i="12"/>
  <c r="D45" i="12"/>
  <c r="D44" i="12"/>
  <c r="G39" i="12" s="1"/>
  <c r="L27" i="12"/>
  <c r="L26" i="12"/>
  <c r="O16" i="12" s="1"/>
  <c r="L25" i="12"/>
  <c r="L24" i="12"/>
  <c r="L23" i="12"/>
  <c r="L22" i="12"/>
  <c r="L21" i="12"/>
  <c r="O15" i="12" s="1"/>
  <c r="L20" i="12"/>
  <c r="O14" i="12" s="1"/>
  <c r="L19" i="12"/>
  <c r="L18" i="12"/>
  <c r="L17" i="12"/>
  <c r="L16" i="12"/>
  <c r="O11" i="12" s="1"/>
  <c r="D27" i="12"/>
  <c r="D26" i="12"/>
  <c r="D25" i="12"/>
  <c r="D24" i="12"/>
  <c r="G16" i="12" s="1"/>
  <c r="D23" i="12"/>
  <c r="D22" i="12"/>
  <c r="D21" i="12"/>
  <c r="G15" i="12" s="1"/>
  <c r="D20" i="12"/>
  <c r="G14" i="12" s="1"/>
  <c r="D19" i="12"/>
  <c r="D18" i="12"/>
  <c r="D17" i="12"/>
  <c r="D16" i="12"/>
  <c r="G11" i="12" s="1"/>
  <c r="G50" i="17"/>
  <c r="G48" i="17"/>
  <c r="G45" i="17"/>
  <c r="O22" i="17"/>
  <c r="G22" i="17"/>
  <c r="O20" i="17"/>
  <c r="G20" i="17"/>
  <c r="O17" i="17"/>
  <c r="G17" i="17"/>
  <c r="G14" i="17"/>
  <c r="O11" i="17"/>
  <c r="I5" i="17"/>
  <c r="G50" i="16"/>
  <c r="G48" i="16"/>
  <c r="G44" i="16"/>
  <c r="G43" i="16"/>
  <c r="G42" i="16"/>
  <c r="G41" i="16"/>
  <c r="G39" i="16"/>
  <c r="G38" i="16"/>
  <c r="O22" i="16"/>
  <c r="G22" i="16"/>
  <c r="O20" i="16"/>
  <c r="G20" i="16"/>
  <c r="O17" i="16"/>
  <c r="G17" i="16"/>
  <c r="O16" i="16"/>
  <c r="G16" i="16"/>
  <c r="O15" i="16"/>
  <c r="G14" i="16"/>
  <c r="O13" i="16"/>
  <c r="O11" i="16"/>
  <c r="G11" i="16"/>
  <c r="I5" i="16"/>
  <c r="G20" i="15"/>
  <c r="G50" i="15"/>
  <c r="G48" i="15"/>
  <c r="G45" i="15"/>
  <c r="G44" i="15"/>
  <c r="G39" i="15"/>
  <c r="O22" i="15"/>
  <c r="G22" i="15"/>
  <c r="O20" i="15"/>
  <c r="O17" i="15"/>
  <c r="G17" i="15"/>
  <c r="O16" i="15"/>
  <c r="O15" i="15"/>
  <c r="G15" i="15"/>
  <c r="O13" i="15"/>
  <c r="I5" i="15"/>
  <c r="G45" i="14"/>
  <c r="G50" i="14"/>
  <c r="G48" i="14"/>
  <c r="G44" i="14"/>
  <c r="G41" i="14"/>
  <c r="G39" i="14"/>
  <c r="O22" i="14"/>
  <c r="G22" i="14"/>
  <c r="O20" i="14"/>
  <c r="G20" i="14"/>
  <c r="O17" i="14"/>
  <c r="G17" i="14"/>
  <c r="G16" i="14"/>
  <c r="O15" i="14"/>
  <c r="G14" i="14"/>
  <c r="O11" i="14"/>
  <c r="I5" i="14"/>
  <c r="G44" i="13"/>
  <c r="G50" i="13"/>
  <c r="G43" i="13"/>
  <c r="G48" i="13"/>
  <c r="G42" i="13"/>
  <c r="G45" i="13"/>
  <c r="G38" i="13"/>
  <c r="G39" i="13"/>
  <c r="G17" i="13"/>
  <c r="G16" i="13"/>
  <c r="O22" i="13"/>
  <c r="G22" i="13"/>
  <c r="O20" i="13"/>
  <c r="G20" i="13"/>
  <c r="O14" i="13"/>
  <c r="G14" i="13"/>
  <c r="O17" i="13"/>
  <c r="O16" i="13"/>
  <c r="O11" i="13"/>
  <c r="O15" i="13"/>
  <c r="G15" i="13"/>
  <c r="G13" i="13"/>
  <c r="G10" i="13"/>
  <c r="I5" i="13"/>
  <c r="G50" i="12"/>
  <c r="G48" i="12"/>
  <c r="G45" i="12"/>
  <c r="G43" i="12"/>
  <c r="G38" i="12"/>
  <c r="O22" i="12"/>
  <c r="G22" i="12"/>
  <c r="O20" i="12"/>
  <c r="G20" i="12"/>
  <c r="O17" i="12"/>
  <c r="G17" i="12"/>
  <c r="G13" i="12"/>
  <c r="I5" i="12"/>
  <c r="O10" i="24" l="1"/>
  <c r="G9" i="24"/>
  <c r="G37" i="24"/>
  <c r="O9" i="24"/>
  <c r="G11" i="24"/>
  <c r="G10" i="24"/>
  <c r="O14" i="19"/>
  <c r="G10" i="19"/>
  <c r="G39" i="18"/>
  <c r="O13" i="18"/>
  <c r="G41" i="18"/>
  <c r="G11" i="18"/>
  <c r="O10" i="18"/>
  <c r="G41" i="17"/>
  <c r="G11" i="17"/>
  <c r="O10" i="17"/>
  <c r="G38" i="17"/>
  <c r="O10" i="16"/>
  <c r="G10" i="16"/>
  <c r="G41" i="15"/>
  <c r="O10" i="15"/>
  <c r="G13" i="15"/>
  <c r="G10" i="15"/>
  <c r="G42" i="14"/>
  <c r="O13" i="14"/>
  <c r="G11" i="14"/>
  <c r="G41" i="12"/>
  <c r="O13" i="12"/>
  <c r="O10" i="12"/>
  <c r="G10" i="12"/>
  <c r="O10" i="13"/>
  <c r="O13" i="13"/>
  <c r="G41" i="13"/>
  <c r="G11" i="13"/>
  <c r="D26" i="11"/>
  <c r="D25" i="11"/>
  <c r="D24" i="11"/>
  <c r="D23" i="11"/>
  <c r="D22" i="11"/>
  <c r="D21" i="11"/>
  <c r="D20" i="11"/>
  <c r="D19" i="11"/>
  <c r="G14" i="11" s="1"/>
  <c r="D18" i="11"/>
  <c r="D17" i="11"/>
  <c r="D16" i="11"/>
  <c r="G10" i="11" s="1"/>
  <c r="L16" i="11"/>
  <c r="L26" i="11"/>
  <c r="L25" i="11"/>
  <c r="L24" i="11"/>
  <c r="O16" i="11" s="1"/>
  <c r="L23" i="11"/>
  <c r="O15" i="11" s="1"/>
  <c r="L22" i="11"/>
  <c r="L21" i="11"/>
  <c r="L20" i="11"/>
  <c r="L19" i="11"/>
  <c r="O10" i="11" s="1"/>
  <c r="L18" i="11"/>
  <c r="L17" i="11"/>
  <c r="D55" i="11"/>
  <c r="G45" i="11" s="1"/>
  <c r="D54" i="11"/>
  <c r="D53" i="11"/>
  <c r="D52" i="11"/>
  <c r="D51" i="11"/>
  <c r="D50" i="11"/>
  <c r="D49" i="11"/>
  <c r="D48" i="11"/>
  <c r="D47" i="11"/>
  <c r="G42" i="11" s="1"/>
  <c r="D46" i="11"/>
  <c r="D45" i="11"/>
  <c r="D44" i="11"/>
  <c r="G50" i="11"/>
  <c r="G48" i="11"/>
  <c r="G44" i="11"/>
  <c r="G43" i="11"/>
  <c r="G41" i="11"/>
  <c r="G38" i="11"/>
  <c r="O22" i="11"/>
  <c r="G22" i="11"/>
  <c r="O20" i="11"/>
  <c r="G20" i="11"/>
  <c r="O17" i="11"/>
  <c r="G17" i="11"/>
  <c r="G16" i="11"/>
  <c r="G15" i="11"/>
  <c r="O13" i="11"/>
  <c r="G13" i="11"/>
  <c r="G11" i="11"/>
  <c r="I5" i="11"/>
  <c r="L27" i="10"/>
  <c r="L26" i="10"/>
  <c r="L25" i="10"/>
  <c r="O10" i="10" s="1"/>
  <c r="L24" i="10"/>
  <c r="O16" i="10" s="1"/>
  <c r="L23" i="10"/>
  <c r="L22" i="10"/>
  <c r="L21" i="10"/>
  <c r="O15" i="10" s="1"/>
  <c r="L20" i="10"/>
  <c r="L19" i="10"/>
  <c r="L18" i="10"/>
  <c r="L17" i="10"/>
  <c r="L16" i="10"/>
  <c r="O13" i="10" s="1"/>
  <c r="D27" i="10"/>
  <c r="D26" i="10"/>
  <c r="D25" i="10"/>
  <c r="D24" i="10"/>
  <c r="G16" i="10" s="1"/>
  <c r="D23" i="10"/>
  <c r="D22" i="10"/>
  <c r="D21" i="10"/>
  <c r="D20" i="10"/>
  <c r="G10" i="10" s="1"/>
  <c r="D19" i="10"/>
  <c r="D18" i="10"/>
  <c r="D17" i="10"/>
  <c r="D16" i="10"/>
  <c r="G11" i="10" s="1"/>
  <c r="D55" i="10"/>
  <c r="D54" i="10"/>
  <c r="D53" i="10"/>
  <c r="D52" i="10"/>
  <c r="D51" i="10"/>
  <c r="D50" i="10"/>
  <c r="D49" i="10"/>
  <c r="G43" i="10" s="1"/>
  <c r="D48" i="10"/>
  <c r="G42" i="10" s="1"/>
  <c r="D47" i="10"/>
  <c r="D46" i="10"/>
  <c r="D45" i="10"/>
  <c r="D44" i="10"/>
  <c r="G38" i="10" s="1"/>
  <c r="G50" i="10"/>
  <c r="G48" i="10"/>
  <c r="G45" i="10"/>
  <c r="G44" i="10"/>
  <c r="G39" i="10"/>
  <c r="O22" i="10"/>
  <c r="G22" i="10"/>
  <c r="O20" i="10"/>
  <c r="G20" i="10"/>
  <c r="O17" i="10"/>
  <c r="G17" i="10"/>
  <c r="G15" i="10"/>
  <c r="O14" i="10"/>
  <c r="G13" i="10"/>
  <c r="I5" i="10"/>
  <c r="G44" i="9"/>
  <c r="G50" i="9"/>
  <c r="G43" i="9"/>
  <c r="G48" i="9"/>
  <c r="G42" i="9"/>
  <c r="G45" i="9"/>
  <c r="G38" i="9"/>
  <c r="G17" i="9"/>
  <c r="G16" i="9"/>
  <c r="O22" i="9"/>
  <c r="G22" i="9"/>
  <c r="O20" i="9"/>
  <c r="G20" i="9"/>
  <c r="O14" i="9"/>
  <c r="G14" i="9"/>
  <c r="O17" i="9"/>
  <c r="O16" i="9"/>
  <c r="O11" i="9"/>
  <c r="O15" i="9"/>
  <c r="G15" i="9"/>
  <c r="G13" i="9"/>
  <c r="G10" i="9"/>
  <c r="I5" i="9"/>
  <c r="L25" i="8"/>
  <c r="D55" i="8"/>
  <c r="D54" i="8"/>
  <c r="D53" i="8"/>
  <c r="D52" i="8"/>
  <c r="G44" i="8" s="1"/>
  <c r="D51" i="8"/>
  <c r="D50" i="8"/>
  <c r="D49" i="8"/>
  <c r="D48" i="8"/>
  <c r="D47" i="8"/>
  <c r="D46" i="8"/>
  <c r="G42" i="8" s="1"/>
  <c r="D45" i="8"/>
  <c r="D44" i="8"/>
  <c r="G38" i="8" s="1"/>
  <c r="L27" i="8"/>
  <c r="O17" i="8" s="1"/>
  <c r="L26" i="8"/>
  <c r="L24" i="8"/>
  <c r="L23" i="8"/>
  <c r="O15" i="8" s="1"/>
  <c r="L22" i="8"/>
  <c r="L21" i="8"/>
  <c r="L20" i="8"/>
  <c r="L19" i="8"/>
  <c r="O14" i="8" s="1"/>
  <c r="L18" i="8"/>
  <c r="L17" i="8"/>
  <c r="L16" i="8"/>
  <c r="D27" i="8"/>
  <c r="D26" i="8"/>
  <c r="D25" i="8"/>
  <c r="D24" i="8"/>
  <c r="G16" i="8" s="1"/>
  <c r="D23" i="8"/>
  <c r="D22" i="8"/>
  <c r="D21" i="8"/>
  <c r="D20" i="8"/>
  <c r="D19" i="8"/>
  <c r="D18" i="8"/>
  <c r="D17" i="8"/>
  <c r="D16" i="8"/>
  <c r="G13" i="8" s="1"/>
  <c r="G50" i="8"/>
  <c r="G43" i="8"/>
  <c r="G48" i="8"/>
  <c r="G45" i="8"/>
  <c r="G39" i="8"/>
  <c r="G17" i="8"/>
  <c r="O22" i="8"/>
  <c r="G22" i="8"/>
  <c r="O20" i="8"/>
  <c r="G20" i="8"/>
  <c r="G14" i="8"/>
  <c r="O16" i="8"/>
  <c r="G15" i="8"/>
  <c r="I5" i="8"/>
  <c r="D55" i="7"/>
  <c r="G45" i="7" s="1"/>
  <c r="D54" i="7"/>
  <c r="D53" i="7"/>
  <c r="D52" i="7"/>
  <c r="D51" i="7"/>
  <c r="G43" i="7" s="1"/>
  <c r="D50" i="7"/>
  <c r="D49" i="7"/>
  <c r="D48" i="7"/>
  <c r="D47" i="7"/>
  <c r="G38" i="7" s="1"/>
  <c r="D46" i="7"/>
  <c r="D45" i="7"/>
  <c r="D44" i="7"/>
  <c r="L27" i="7"/>
  <c r="L26" i="7"/>
  <c r="L25" i="7"/>
  <c r="L24" i="7"/>
  <c r="O16" i="7" s="1"/>
  <c r="L23" i="7"/>
  <c r="L22" i="7"/>
  <c r="L21" i="7"/>
  <c r="L20" i="7"/>
  <c r="O14" i="7" s="1"/>
  <c r="L19" i="7"/>
  <c r="L18" i="7"/>
  <c r="L17" i="7"/>
  <c r="L16" i="7"/>
  <c r="O11" i="7" s="1"/>
  <c r="D27" i="7"/>
  <c r="D26" i="7"/>
  <c r="D25" i="7"/>
  <c r="D24" i="7"/>
  <c r="D23" i="7"/>
  <c r="D22" i="7"/>
  <c r="D21" i="7"/>
  <c r="D19" i="7"/>
  <c r="G10" i="7" s="1"/>
  <c r="D18" i="7"/>
  <c r="D17" i="7"/>
  <c r="D16" i="7"/>
  <c r="G44" i="7"/>
  <c r="G50" i="7"/>
  <c r="G48" i="7"/>
  <c r="G42" i="7"/>
  <c r="G17" i="7"/>
  <c r="G16" i="7"/>
  <c r="O22" i="7"/>
  <c r="G22" i="7"/>
  <c r="O20" i="7"/>
  <c r="G20" i="7"/>
  <c r="O17" i="7"/>
  <c r="O15" i="7"/>
  <c r="G15" i="7"/>
  <c r="G13" i="7"/>
  <c r="I5" i="7"/>
  <c r="D55" i="6"/>
  <c r="D54" i="6"/>
  <c r="D53" i="6"/>
  <c r="D52" i="6"/>
  <c r="G44" i="6" s="1"/>
  <c r="D51" i="6"/>
  <c r="D50" i="6"/>
  <c r="D49" i="6"/>
  <c r="D48" i="6"/>
  <c r="G42" i="6" s="1"/>
  <c r="D47" i="6"/>
  <c r="D46" i="6"/>
  <c r="D45" i="6"/>
  <c r="D44" i="6"/>
  <c r="G38" i="6" s="1"/>
  <c r="L27" i="6"/>
  <c r="L26" i="6"/>
  <c r="L25" i="6"/>
  <c r="L24" i="6"/>
  <c r="L23" i="6"/>
  <c r="L22" i="6"/>
  <c r="L21" i="6"/>
  <c r="O15" i="6" s="1"/>
  <c r="L20" i="6"/>
  <c r="O14" i="6" s="1"/>
  <c r="L19" i="6"/>
  <c r="L18" i="6"/>
  <c r="L17" i="6"/>
  <c r="L16" i="6"/>
  <c r="O11" i="6" s="1"/>
  <c r="D27" i="6"/>
  <c r="D26" i="6"/>
  <c r="D25" i="6"/>
  <c r="D24" i="6"/>
  <c r="G16" i="6" s="1"/>
  <c r="D23" i="6"/>
  <c r="D22" i="6"/>
  <c r="D21" i="6"/>
  <c r="D20" i="6"/>
  <c r="D19" i="6"/>
  <c r="G14" i="6" s="1"/>
  <c r="D18" i="6"/>
  <c r="D17" i="6"/>
  <c r="G13" i="6" s="1"/>
  <c r="D16" i="6"/>
  <c r="G50" i="6"/>
  <c r="G43" i="6"/>
  <c r="G48" i="6"/>
  <c r="G45" i="6"/>
  <c r="G17" i="6"/>
  <c r="O22" i="6"/>
  <c r="G22" i="6"/>
  <c r="O20" i="6"/>
  <c r="G20" i="6"/>
  <c r="O17" i="6"/>
  <c r="O16" i="6"/>
  <c r="G15" i="6"/>
  <c r="I5" i="6"/>
  <c r="D55" i="4"/>
  <c r="D54" i="4"/>
  <c r="D53" i="4"/>
  <c r="D52" i="4"/>
  <c r="G44" i="4" s="1"/>
  <c r="D51" i="4"/>
  <c r="D50" i="4"/>
  <c r="D49" i="4"/>
  <c r="D48" i="4"/>
  <c r="D47" i="4"/>
  <c r="D46" i="4"/>
  <c r="G42" i="4" s="1"/>
  <c r="D45" i="4"/>
  <c r="D44" i="4"/>
  <c r="G38" i="4" s="1"/>
  <c r="L27" i="4"/>
  <c r="L26" i="4"/>
  <c r="L25" i="4"/>
  <c r="L24" i="4"/>
  <c r="L23" i="4"/>
  <c r="L22" i="4"/>
  <c r="L21" i="4"/>
  <c r="L20" i="4"/>
  <c r="O14" i="4" s="1"/>
  <c r="L19" i="4"/>
  <c r="L18" i="4"/>
  <c r="L17" i="4"/>
  <c r="L16" i="4"/>
  <c r="O11" i="4" s="1"/>
  <c r="D17" i="4"/>
  <c r="D18" i="4"/>
  <c r="G11" i="4" s="1"/>
  <c r="D19" i="4"/>
  <c r="D20" i="4"/>
  <c r="G14" i="4" s="1"/>
  <c r="D21" i="4"/>
  <c r="D22" i="4"/>
  <c r="D23" i="4"/>
  <c r="G15" i="4" s="1"/>
  <c r="D24" i="4"/>
  <c r="G16" i="4" s="1"/>
  <c r="D25" i="4"/>
  <c r="D26" i="4"/>
  <c r="D27" i="4"/>
  <c r="D16" i="4"/>
  <c r="G45" i="4"/>
  <c r="G50" i="4"/>
  <c r="G43" i="4"/>
  <c r="G48" i="4"/>
  <c r="G41" i="4"/>
  <c r="O17" i="4"/>
  <c r="G17" i="4"/>
  <c r="O16" i="4"/>
  <c r="O22" i="4"/>
  <c r="G22" i="4"/>
  <c r="O15" i="4"/>
  <c r="O20" i="4"/>
  <c r="G20" i="4"/>
  <c r="O13" i="4"/>
  <c r="I5" i="4"/>
  <c r="D37" i="3"/>
  <c r="D60" i="3"/>
  <c r="D59" i="3"/>
  <c r="D58" i="3"/>
  <c r="D57" i="3"/>
  <c r="D56" i="3"/>
  <c r="D55" i="3"/>
  <c r="D54" i="3"/>
  <c r="D53" i="3"/>
  <c r="G44" i="3" s="1"/>
  <c r="D52" i="3"/>
  <c r="D51" i="3"/>
  <c r="D50" i="3"/>
  <c r="D49" i="3"/>
  <c r="G43" i="3" s="1"/>
  <c r="D48" i="3"/>
  <c r="D47" i="3"/>
  <c r="D46" i="3"/>
  <c r="G42" i="3" s="1"/>
  <c r="D45" i="3"/>
  <c r="D44" i="3"/>
  <c r="D39" i="3"/>
  <c r="D38" i="3"/>
  <c r="L32" i="3"/>
  <c r="L31" i="3"/>
  <c r="L30" i="3"/>
  <c r="L29" i="3"/>
  <c r="L28" i="3"/>
  <c r="L27" i="3"/>
  <c r="L26" i="3"/>
  <c r="L25" i="3"/>
  <c r="L24" i="3"/>
  <c r="L23" i="3"/>
  <c r="L22" i="3"/>
  <c r="L21" i="3"/>
  <c r="O15" i="3" s="1"/>
  <c r="L20" i="3"/>
  <c r="L19" i="3"/>
  <c r="L18" i="3"/>
  <c r="O14" i="3" s="1"/>
  <c r="L17" i="3"/>
  <c r="O11" i="3" s="1"/>
  <c r="L16" i="3"/>
  <c r="L11" i="3"/>
  <c r="L10" i="3"/>
  <c r="L9" i="3"/>
  <c r="G17" i="3"/>
  <c r="D9" i="3"/>
  <c r="D10" i="3"/>
  <c r="D11" i="3"/>
  <c r="D16" i="3"/>
  <c r="D17" i="3"/>
  <c r="D18" i="3"/>
  <c r="G14" i="3" s="1"/>
  <c r="D19" i="3"/>
  <c r="D20" i="3"/>
  <c r="D21" i="3"/>
  <c r="D22" i="3"/>
  <c r="D23" i="3"/>
  <c r="D24" i="3"/>
  <c r="D25" i="3"/>
  <c r="D26" i="3"/>
  <c r="G16" i="3" s="1"/>
  <c r="D27" i="3"/>
  <c r="D28" i="3"/>
  <c r="D29" i="3"/>
  <c r="D30" i="3"/>
  <c r="D31" i="3"/>
  <c r="D32" i="3"/>
  <c r="G50" i="3"/>
  <c r="G48" i="3"/>
  <c r="G39" i="3"/>
  <c r="O22" i="3"/>
  <c r="G22" i="3"/>
  <c r="O20" i="3"/>
  <c r="G20" i="3"/>
  <c r="O16" i="3"/>
  <c r="G15" i="3"/>
  <c r="G13" i="3"/>
  <c r="I5" i="3"/>
  <c r="G10" i="1"/>
  <c r="D55" i="1"/>
  <c r="D54" i="1"/>
  <c r="D53" i="1"/>
  <c r="D52" i="1"/>
  <c r="G44" i="1" s="1"/>
  <c r="D51" i="1"/>
  <c r="D50" i="1"/>
  <c r="D49" i="1"/>
  <c r="D48" i="1"/>
  <c r="D47" i="1"/>
  <c r="D46" i="1"/>
  <c r="D45" i="1"/>
  <c r="D44" i="1"/>
  <c r="G41" i="1" s="1"/>
  <c r="L27" i="1"/>
  <c r="L26" i="1"/>
  <c r="L25" i="1"/>
  <c r="L24" i="1"/>
  <c r="O16" i="1" s="1"/>
  <c r="L23" i="1"/>
  <c r="L22" i="1"/>
  <c r="L21" i="1"/>
  <c r="L20" i="1"/>
  <c r="L19" i="1"/>
  <c r="L18" i="1"/>
  <c r="O14" i="1" s="1"/>
  <c r="L17" i="1"/>
  <c r="L16" i="1"/>
  <c r="O13" i="1" s="1"/>
  <c r="D17" i="1"/>
  <c r="D18" i="1"/>
  <c r="D19" i="1"/>
  <c r="D20" i="1"/>
  <c r="D21" i="1"/>
  <c r="D22" i="1"/>
  <c r="D23" i="1"/>
  <c r="D24" i="1"/>
  <c r="G16" i="1" s="1"/>
  <c r="D25" i="1"/>
  <c r="D26" i="1"/>
  <c r="D27" i="1"/>
  <c r="G17" i="1" s="1"/>
  <c r="D16" i="1"/>
  <c r="G13" i="1"/>
  <c r="G50" i="1"/>
  <c r="G48" i="1"/>
  <c r="G45" i="1"/>
  <c r="G43" i="1"/>
  <c r="G42" i="1"/>
  <c r="O22" i="1"/>
  <c r="O20" i="1"/>
  <c r="O17" i="1"/>
  <c r="O15" i="1"/>
  <c r="O10" i="1"/>
  <c r="I5" i="1"/>
  <c r="G22" i="1"/>
  <c r="G20" i="1"/>
  <c r="G15" i="1"/>
  <c r="G14" i="1"/>
  <c r="O11" i="11" l="1"/>
  <c r="O14" i="11"/>
  <c r="G39" i="11"/>
  <c r="O11" i="10"/>
  <c r="G14" i="10"/>
  <c r="G41" i="10"/>
  <c r="G11" i="9"/>
  <c r="G39" i="9"/>
  <c r="O10" i="9"/>
  <c r="O13" i="9"/>
  <c r="G41" i="9"/>
  <c r="O11" i="8"/>
  <c r="G10" i="8"/>
  <c r="O13" i="8"/>
  <c r="G11" i="8"/>
  <c r="O10" i="8"/>
  <c r="G41" i="8"/>
  <c r="G39" i="7"/>
  <c r="G14" i="7"/>
  <c r="O13" i="7"/>
  <c r="G11" i="7"/>
  <c r="O10" i="7"/>
  <c r="G41" i="7"/>
  <c r="G39" i="6"/>
  <c r="G10" i="6"/>
  <c r="O10" i="6"/>
  <c r="O13" i="6"/>
  <c r="G41" i="6"/>
  <c r="G11" i="6"/>
  <c r="G39" i="4"/>
  <c r="O10" i="4"/>
  <c r="G10" i="4"/>
  <c r="G13" i="4"/>
  <c r="G45" i="3"/>
  <c r="G38" i="3"/>
  <c r="O17" i="3"/>
  <c r="G10" i="3"/>
  <c r="O10" i="3"/>
  <c r="G11" i="3"/>
  <c r="O13" i="3"/>
  <c r="G41" i="3"/>
  <c r="G39" i="1"/>
  <c r="G38" i="1"/>
  <c r="O11" i="1"/>
  <c r="G11" i="1"/>
</calcChain>
</file>

<file path=xl/sharedStrings.xml><?xml version="1.0" encoding="utf-8"?>
<sst xmlns="http://schemas.openxmlformats.org/spreadsheetml/2006/main" count="1072" uniqueCount="44">
  <si>
    <t>6:00 a 8:00</t>
  </si>
  <si>
    <t>9:00 a 11:00</t>
  </si>
  <si>
    <t>12:00 a 14:00</t>
  </si>
  <si>
    <t>15:00 a 17:00</t>
  </si>
  <si>
    <t>18:00 a 20:00</t>
  </si>
  <si>
    <t>ARIMA</t>
  </si>
  <si>
    <t>p</t>
  </si>
  <si>
    <t>d</t>
  </si>
  <si>
    <t>q</t>
  </si>
  <si>
    <t>Modelo</t>
  </si>
  <si>
    <t>Dato Real</t>
  </si>
  <si>
    <t>Predicción</t>
  </si>
  <si>
    <t>Error</t>
  </si>
  <si>
    <t>Usando el modelo ARIMA</t>
  </si>
  <si>
    <t>Errores (MAPES)</t>
  </si>
  <si>
    <t>Diario</t>
  </si>
  <si>
    <t>Por Hora</t>
  </si>
  <si>
    <t>Horas con sol</t>
  </si>
  <si>
    <t>Producción total</t>
  </si>
  <si>
    <t>Estimación total</t>
  </si>
  <si>
    <t>GICIS308</t>
  </si>
  <si>
    <t>Usando el modelo ARIMA y promedio (7 dias) en horas 7 a 9 y 16 a 18</t>
  </si>
  <si>
    <t>Usando el modelo ARIMA y promedio (7 días) en horas 7 a 9</t>
  </si>
  <si>
    <t>GICIS309</t>
  </si>
  <si>
    <t>GICIS310</t>
  </si>
  <si>
    <t>GICIS311</t>
  </si>
  <si>
    <t>GICIS307</t>
  </si>
  <si>
    <t>GICIS312</t>
  </si>
  <si>
    <t>GICIS313</t>
  </si>
  <si>
    <t>GICIS314</t>
  </si>
  <si>
    <t>GICIS315</t>
  </si>
  <si>
    <t>GICIS316</t>
  </si>
  <si>
    <t>GICIS306</t>
  </si>
  <si>
    <t>GICIS317</t>
  </si>
  <si>
    <t>GICIS318</t>
  </si>
  <si>
    <t>GICIS319</t>
  </si>
  <si>
    <t>GICIS320</t>
  </si>
  <si>
    <t>GICIS321</t>
  </si>
  <si>
    <t>GICIS322</t>
  </si>
  <si>
    <t>GICIS323</t>
  </si>
  <si>
    <t>GICIS324</t>
  </si>
  <si>
    <t>GICIS325</t>
  </si>
  <si>
    <t>GICIS326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</si>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</sst>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Helvetica Neue"/>
      <family val="2"/>
    </font>
    <font>
      <sz val="12"/>
      <color rgb="FF000000"/>
      <name val="Helvetica Neue"/>
      <family val="2"/>
    </font>
    <font>
      <sz val="22"/>
      <color theme="1"/>
      <name val="Calibri"/>
      <family val="2"/>
      <scheme val="minor"/>
    </font>
    <font>
      <sz val="22"/>
      <color theme="1"/>
      <name val="Menlo Regular"/>
    </font>
    <font>
      <sz val="12"/>
      <color rgb="FF000000"/>
      <name val="Calibri"/>
      <family val="2"/>
      <scheme val="minor"/>
    </font>
    <font>
      <sz val="14"/>
      <color rgb="FF303F9F"/>
      <name val="Courier New"/>
      <family val="1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4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10" fontId="0" fillId="0" borderId="4" xfId="1" applyNumberFormat="1" applyFont="1" applyBorder="1" applyAlignment="1">
      <alignment horizontal="center" vertical="center"/>
    </xf>
    <xf numFmtId="10" fontId="5" fillId="0" borderId="1" xfId="1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0" fontId="2" fillId="0" borderId="1" xfId="1" applyNumberFormat="1" applyFont="1" applyBorder="1" applyAlignment="1">
      <alignment horizontal="center" vertical="center"/>
    </xf>
    <xf numFmtId="10" fontId="5" fillId="0" borderId="1" xfId="1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1" xfId="0" applyFont="1" applyBorder="1" applyAlignment="1">
      <alignment horizontal="center"/>
    </xf>
    <xf numFmtId="10" fontId="8" fillId="0" borderId="1" xfId="1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D8A3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GB"/>
              <a:t>Errores por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GICIS306!$F$13:$F$17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GICIS306!$G$13:$G$17</c:f>
              <c:numCache>
                <c:formatCode>0.00%</c:formatCode>
                <c:ptCount val="5"/>
                <c:pt idx="0">
                  <c:v>0.61851866666666666</c:v>
                </c:pt>
                <c:pt idx="1">
                  <c:v>0.13980499999999998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0-4662-98D5-AA3BE9A0EB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6034856"/>
        <c:axId val="756043056"/>
      </c:lineChart>
      <c:catAx>
        <c:axId val="756034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043056"/>
        <c:crosses val="autoZero"/>
        <c:auto val="1"/>
        <c:lblAlgn val="ctr"/>
        <c:lblOffset val="100"/>
        <c:noMultiLvlLbl val="0"/>
      </c:catAx>
      <c:valAx>
        <c:axId val="75604305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75603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GICIS306!$B$8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GICIS306!$B$9:$B$32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180</c:v>
                </c:pt>
                <c:pt idx="9">
                  <c:v>472</c:v>
                </c:pt>
                <c:pt idx="10">
                  <c:v>640</c:v>
                </c:pt>
                <c:pt idx="11">
                  <c:v>643</c:v>
                </c:pt>
                <c:pt idx="12">
                  <c:v>637</c:v>
                </c:pt>
                <c:pt idx="13">
                  <c:v>635</c:v>
                </c:pt>
                <c:pt idx="14">
                  <c:v>636</c:v>
                </c:pt>
                <c:pt idx="15">
                  <c:v>636</c:v>
                </c:pt>
                <c:pt idx="16">
                  <c:v>601</c:v>
                </c:pt>
                <c:pt idx="17">
                  <c:v>347</c:v>
                </c:pt>
                <c:pt idx="18">
                  <c:v>86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7F-46D7-9201-86C7FAC1273C}"/>
            </c:ext>
          </c:extLst>
        </c:ser>
        <c:ser>
          <c:idx val="1"/>
          <c:order val="1"/>
          <c:tx>
            <c:strRef>
              <c:f>GICIS306!$C$8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GICIS306!$C$9:$C$32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324</c:v>
                </c:pt>
                <c:pt idx="10">
                  <c:v>654</c:v>
                </c:pt>
                <c:pt idx="11">
                  <c:v>697</c:v>
                </c:pt>
                <c:pt idx="12">
                  <c:v>612</c:v>
                </c:pt>
                <c:pt idx="13">
                  <c:v>638</c:v>
                </c:pt>
                <c:pt idx="14">
                  <c:v>629</c:v>
                </c:pt>
                <c:pt idx="15">
                  <c:v>609</c:v>
                </c:pt>
                <c:pt idx="16">
                  <c:v>580</c:v>
                </c:pt>
                <c:pt idx="17">
                  <c:v>519</c:v>
                </c:pt>
                <c:pt idx="18">
                  <c:v>148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7F-46D7-9201-86C7FAC1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958528"/>
        <c:axId val="699965416"/>
      </c:scatterChart>
      <c:valAx>
        <c:axId val="69995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99965416"/>
        <c:crosses val="autoZero"/>
        <c:crossBetween val="midCat"/>
      </c:valAx>
      <c:valAx>
        <c:axId val="69996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9995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GICIS306!$F$13:$F$17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GICIS306!$G$13:$G$17</c:f>
              <c:numCache>
                <c:formatCode>0.00%</c:formatCode>
                <c:ptCount val="5"/>
                <c:pt idx="0">
                  <c:v>0.61851866666666666</c:v>
                </c:pt>
                <c:pt idx="1">
                  <c:v>0.13980499999999998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B-3542-A397-4BF441B3E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883808"/>
        <c:axId val="1993526880"/>
      </c:scatterChart>
      <c:valAx>
        <c:axId val="199388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993526880"/>
        <c:crosses val="autoZero"/>
        <c:crossBetween val="midCat"/>
      </c:valAx>
      <c:valAx>
        <c:axId val="19935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99388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GICIS306!$O$13:$O$17</c:f>
              <c:numCache>
                <c:formatCode>0.00%</c:formatCode>
                <c:ptCount val="5"/>
                <c:pt idx="0">
                  <c:v>0.66666666666666663</c:v>
                </c:pt>
                <c:pt idx="1">
                  <c:v>0.36861866666666671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5-B548-8C70-C12AE0A890D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GICIS306!$G$41:$G$45</c:f>
              <c:numCache>
                <c:formatCode>0.00%</c:formatCode>
                <c:ptCount val="5"/>
                <c:pt idx="0">
                  <c:v>0.66666666666666663</c:v>
                </c:pt>
                <c:pt idx="1">
                  <c:v>0.36861866666666671</c:v>
                </c:pt>
                <c:pt idx="2">
                  <c:v>1.8325333333333336E-2</c:v>
                </c:pt>
                <c:pt idx="3">
                  <c:v>0.68081766666666665</c:v>
                </c:pt>
                <c:pt idx="4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E5-B548-8C70-C12AE0A89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GICIS306!$G$13:$G$17</c:f>
              <c:numCache>
                <c:formatCode>0.00%</c:formatCode>
                <c:ptCount val="5"/>
                <c:pt idx="0">
                  <c:v>0.61851866666666666</c:v>
                </c:pt>
                <c:pt idx="1">
                  <c:v>0.13980499999999998</c:v>
                </c:pt>
                <c:pt idx="2">
                  <c:v>1.8325333333333336E-2</c:v>
                </c:pt>
                <c:pt idx="3">
                  <c:v>0.191024</c:v>
                </c:pt>
                <c:pt idx="4">
                  <c:v>0.57364333333333339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E5-B548-8C70-C12AE0A89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GICIS307!$B$8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GICIS307!$B$9:$B$32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285</c:v>
                </c:pt>
                <c:pt idx="8">
                  <c:v>1166</c:v>
                </c:pt>
                <c:pt idx="9">
                  <c:v>1547</c:v>
                </c:pt>
                <c:pt idx="10">
                  <c:v>1569</c:v>
                </c:pt>
                <c:pt idx="11">
                  <c:v>1495</c:v>
                </c:pt>
                <c:pt idx="12">
                  <c:v>1517</c:v>
                </c:pt>
                <c:pt idx="13">
                  <c:v>1469</c:v>
                </c:pt>
                <c:pt idx="14">
                  <c:v>1339</c:v>
                </c:pt>
                <c:pt idx="15">
                  <c:v>1461</c:v>
                </c:pt>
                <c:pt idx="16">
                  <c:v>1232</c:v>
                </c:pt>
                <c:pt idx="17">
                  <c:v>728</c:v>
                </c:pt>
                <c:pt idx="18">
                  <c:v>113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63-4CF2-965D-51B78F985032}"/>
            </c:ext>
          </c:extLst>
        </c:ser>
        <c:ser>
          <c:idx val="1"/>
          <c:order val="1"/>
          <c:tx>
            <c:strRef>
              <c:f>GICIS307!$C$8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GICIS307!$C$9:$C$32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255</c:v>
                </c:pt>
                <c:pt idx="8">
                  <c:v>569</c:v>
                </c:pt>
                <c:pt idx="9">
                  <c:v>1544</c:v>
                </c:pt>
                <c:pt idx="10">
                  <c:v>1581</c:v>
                </c:pt>
                <c:pt idx="11">
                  <c:v>1501</c:v>
                </c:pt>
                <c:pt idx="12">
                  <c:v>1411</c:v>
                </c:pt>
                <c:pt idx="13">
                  <c:v>1457</c:v>
                </c:pt>
                <c:pt idx="14">
                  <c:v>1341</c:v>
                </c:pt>
                <c:pt idx="15">
                  <c:v>1184</c:v>
                </c:pt>
                <c:pt idx="16">
                  <c:v>1357</c:v>
                </c:pt>
                <c:pt idx="17">
                  <c:v>930</c:v>
                </c:pt>
                <c:pt idx="18">
                  <c:v>391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63-4CF2-965D-51B78F985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71456"/>
        <c:axId val="1178067848"/>
      </c:scatterChart>
      <c:valAx>
        <c:axId val="11780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7848"/>
        <c:crosses val="autoZero"/>
        <c:crossBetween val="midCat"/>
      </c:valAx>
      <c:valAx>
        <c:axId val="117806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7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GICIS307!$F$13:$F$17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GICIS307!$G$13:$G$17</c:f>
              <c:numCache>
                <c:formatCode>0.00%</c:formatCode>
                <c:ptCount val="5"/>
                <c:pt idx="0">
                  <c:v>0.20575667298606723</c:v>
                </c:pt>
                <c:pt idx="1">
                  <c:v>4.5335995720604911E-3</c:v>
                </c:pt>
                <c:pt idx="2">
                  <c:v>2.6512409036261769E-2</c:v>
                </c:pt>
                <c:pt idx="3">
                  <c:v>0.18950991114748808</c:v>
                </c:pt>
                <c:pt idx="4">
                  <c:v>0.8200589970501474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0-4FA5-A804-1543AF62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20264"/>
        <c:axId val="752617640"/>
      </c:scatterChart>
      <c:valAx>
        <c:axId val="752620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17640"/>
        <c:crosses val="autoZero"/>
        <c:crossBetween val="midCat"/>
      </c:valAx>
      <c:valAx>
        <c:axId val="75261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2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GICIS307!$O$13:$O$17</c:f>
              <c:numCache>
                <c:formatCode>0.00%</c:formatCode>
                <c:ptCount val="5"/>
                <c:pt idx="0">
                  <c:v>0.10048735294253364</c:v>
                </c:pt>
                <c:pt idx="1">
                  <c:v>3.8485642019808829E-2</c:v>
                </c:pt>
                <c:pt idx="2">
                  <c:v>2.6512409036261769E-2</c:v>
                </c:pt>
                <c:pt idx="3">
                  <c:v>0.18950991114748808</c:v>
                </c:pt>
                <c:pt idx="4">
                  <c:v>0.8200589970501474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73-A544-A397-DA0E8B7FABC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GICIS307!$G$41:$G$45</c:f>
              <c:numCache>
                <c:formatCode>0.00%</c:formatCode>
                <c:ptCount val="5"/>
                <c:pt idx="0">
                  <c:v>0.10048735294253364</c:v>
                </c:pt>
                <c:pt idx="1">
                  <c:v>3.8485642019808829E-2</c:v>
                </c:pt>
                <c:pt idx="2">
                  <c:v>2.6512409036261769E-2</c:v>
                </c:pt>
                <c:pt idx="3">
                  <c:v>0.11667500811302263</c:v>
                </c:pt>
                <c:pt idx="4">
                  <c:v>0.2777075427728613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3-A544-A397-DA0E8B7FA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GICIS307!$G$13:$G$17</c:f>
              <c:numCache>
                <c:formatCode>0.00%</c:formatCode>
                <c:ptCount val="5"/>
                <c:pt idx="0">
                  <c:v>0.20575667298606723</c:v>
                </c:pt>
                <c:pt idx="1">
                  <c:v>4.5335995720604911E-3</c:v>
                </c:pt>
                <c:pt idx="2">
                  <c:v>2.6512409036261769E-2</c:v>
                </c:pt>
                <c:pt idx="3">
                  <c:v>0.18950991114748808</c:v>
                </c:pt>
                <c:pt idx="4">
                  <c:v>0.8200589970501474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73-A544-A397-DA0E8B7FA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GICIS308!$B$8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GICIS308!$B$9:$B$32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26712</c:v>
                </c:pt>
                <c:pt idx="8" formatCode="0">
                  <c:v>67768</c:v>
                </c:pt>
                <c:pt idx="9" formatCode="0">
                  <c:v>114971</c:v>
                </c:pt>
                <c:pt idx="10" formatCode="0">
                  <c:v>159410</c:v>
                </c:pt>
                <c:pt idx="11" formatCode="0">
                  <c:v>182024</c:v>
                </c:pt>
                <c:pt idx="12" formatCode="0">
                  <c:v>181452</c:v>
                </c:pt>
                <c:pt idx="13" formatCode="0">
                  <c:v>182154</c:v>
                </c:pt>
                <c:pt idx="14" formatCode="0">
                  <c:v>175778</c:v>
                </c:pt>
                <c:pt idx="15" formatCode="0">
                  <c:v>147703</c:v>
                </c:pt>
                <c:pt idx="16" formatCode="0">
                  <c:v>121666</c:v>
                </c:pt>
                <c:pt idx="17" formatCode="0">
                  <c:v>50923</c:v>
                </c:pt>
                <c:pt idx="18" formatCode="0">
                  <c:v>4694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B-42DF-9019-4FD66A4C1CDD}"/>
            </c:ext>
          </c:extLst>
        </c:ser>
        <c:ser>
          <c:idx val="1"/>
          <c:order val="1"/>
          <c:tx>
            <c:strRef>
              <c:f>GICIS308!$C$8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GICIS308!$C$9:$C$32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14153</c:v>
                </c:pt>
                <c:pt idx="8" formatCode="0">
                  <c:v>50149</c:v>
                </c:pt>
                <c:pt idx="9" formatCode="0">
                  <c:v>90361</c:v>
                </c:pt>
                <c:pt idx="10" formatCode="0">
                  <c:v>133418</c:v>
                </c:pt>
                <c:pt idx="11" formatCode="0">
                  <c:v>170790</c:v>
                </c:pt>
                <c:pt idx="12" formatCode="0">
                  <c:v>180334</c:v>
                </c:pt>
                <c:pt idx="13" formatCode="0">
                  <c:v>169549</c:v>
                </c:pt>
                <c:pt idx="14" formatCode="0">
                  <c:v>171813</c:v>
                </c:pt>
                <c:pt idx="15" formatCode="0">
                  <c:v>157004</c:v>
                </c:pt>
                <c:pt idx="16" formatCode="0">
                  <c:v>117912</c:v>
                </c:pt>
                <c:pt idx="17" formatCode="0">
                  <c:v>93713</c:v>
                </c:pt>
                <c:pt idx="18" formatCode="0">
                  <c:v>5866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EB-42DF-9019-4FD66A4C1CDD}"/>
            </c:ext>
          </c:extLst>
        </c:ser>
        <c:ser>
          <c:idx val="2"/>
          <c:order val="2"/>
          <c:tx>
            <c:v>Predicción 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GICIS308!$K$9:$K$32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16410.285714000001</c:v>
                </c:pt>
                <c:pt idx="8">
                  <c:v>76344.857143000001</c:v>
                </c:pt>
                <c:pt idx="9">
                  <c:v>117381.428571</c:v>
                </c:pt>
                <c:pt idx="10">
                  <c:v>133418</c:v>
                </c:pt>
                <c:pt idx="11">
                  <c:v>170790</c:v>
                </c:pt>
                <c:pt idx="12">
                  <c:v>180334</c:v>
                </c:pt>
                <c:pt idx="13">
                  <c:v>169549</c:v>
                </c:pt>
                <c:pt idx="14">
                  <c:v>171813</c:v>
                </c:pt>
                <c:pt idx="15">
                  <c:v>157004</c:v>
                </c:pt>
                <c:pt idx="16">
                  <c:v>117912</c:v>
                </c:pt>
                <c:pt idx="17">
                  <c:v>93713</c:v>
                </c:pt>
                <c:pt idx="18">
                  <c:v>5866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C5-B249-9FFB-9A3D82FCAF03}"/>
            </c:ext>
          </c:extLst>
        </c:ser>
        <c:ser>
          <c:idx val="3"/>
          <c:order val="3"/>
          <c:tx>
            <c:v>Predicción 3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GICIS308!$C$37:$C$60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16410.285714000001</c:v>
                </c:pt>
                <c:pt idx="8">
                  <c:v>76344.857143000001</c:v>
                </c:pt>
                <c:pt idx="9">
                  <c:v>117381.428571</c:v>
                </c:pt>
                <c:pt idx="10">
                  <c:v>133418</c:v>
                </c:pt>
                <c:pt idx="11">
                  <c:v>170790</c:v>
                </c:pt>
                <c:pt idx="12">
                  <c:v>180334</c:v>
                </c:pt>
                <c:pt idx="13">
                  <c:v>169549</c:v>
                </c:pt>
                <c:pt idx="14">
                  <c:v>171813</c:v>
                </c:pt>
                <c:pt idx="15">
                  <c:v>157004</c:v>
                </c:pt>
                <c:pt idx="16">
                  <c:v>118272.142857</c:v>
                </c:pt>
                <c:pt idx="17">
                  <c:v>70345.428570999997</c:v>
                </c:pt>
                <c:pt idx="18">
                  <c:v>8752.8571429999993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C5-B249-9FFB-9A3D82FCA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23544"/>
        <c:axId val="752617968"/>
      </c:scatterChart>
      <c:valAx>
        <c:axId val="752623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17968"/>
        <c:crosses val="autoZero"/>
        <c:crossBetween val="midCat"/>
      </c:valAx>
      <c:valAx>
        <c:axId val="75261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23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GICIS308!$O$13:$O$17</c:f>
              <c:numCache>
                <c:formatCode>0.00%</c:formatCode>
                <c:ptCount val="5"/>
                <c:pt idx="0">
                  <c:v>0.17074023934600843</c:v>
                </c:pt>
                <c:pt idx="1">
                  <c:v>8.191130769875625E-2</c:v>
                </c:pt>
                <c:pt idx="2">
                  <c:v>3.2639319583190739E-2</c:v>
                </c:pt>
                <c:pt idx="3">
                  <c:v>0.31137140132266344</c:v>
                </c:pt>
                <c:pt idx="4">
                  <c:v>8.3226814372958355E-2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5-2147-A1A5-C38B99B0DCFC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GICIS308!$G$41:$G$45</c:f>
              <c:numCache>
                <c:formatCode>0.00%</c:formatCode>
                <c:ptCount val="5"/>
                <c:pt idx="0">
                  <c:v>0.17074023934600843</c:v>
                </c:pt>
                <c:pt idx="1">
                  <c:v>8.191130769875625E-2</c:v>
                </c:pt>
                <c:pt idx="2">
                  <c:v>3.2639319583190739E-2</c:v>
                </c:pt>
                <c:pt idx="3">
                  <c:v>0.1574245382742662</c:v>
                </c:pt>
                <c:pt idx="4">
                  <c:v>0.28823016212185765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5-2147-A1A5-C38B99B0D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GICIS308!$G$13:$G$17</c:f>
              <c:numCache>
                <c:formatCode>0.00%</c:formatCode>
                <c:ptCount val="5"/>
                <c:pt idx="0">
                  <c:v>0.24338439609575538</c:v>
                </c:pt>
                <c:pt idx="1">
                  <c:v>0.1462741221737108</c:v>
                </c:pt>
                <c:pt idx="2">
                  <c:v>3.2639319583190739E-2</c:v>
                </c:pt>
                <c:pt idx="3">
                  <c:v>0.31137140132266344</c:v>
                </c:pt>
                <c:pt idx="4">
                  <c:v>8.3226814372958355E-2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4-4B4E-9582-15799610A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GICIS309!$B$8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GICIS309!$A$9:$A$32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GICIS309!$B$9:$B$32</c:f>
              <c:numCache>
                <c:formatCode>General</c:formatCode>
                <c:ptCount val="24"/>
                <c:pt idx="0">
                  <c:v>40</c:v>
                </c:pt>
                <c:pt idx="1">
                  <c:v>40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483</c:v>
                </c:pt>
                <c:pt idx="8">
                  <c:v>3312</c:v>
                </c:pt>
                <c:pt idx="9">
                  <c:v>4590</c:v>
                </c:pt>
                <c:pt idx="10">
                  <c:v>5533</c:v>
                </c:pt>
                <c:pt idx="11">
                  <c:v>9922</c:v>
                </c:pt>
                <c:pt idx="12">
                  <c:v>10323</c:v>
                </c:pt>
                <c:pt idx="13">
                  <c:v>7155</c:v>
                </c:pt>
                <c:pt idx="14">
                  <c:v>6574</c:v>
                </c:pt>
                <c:pt idx="15">
                  <c:v>9176</c:v>
                </c:pt>
                <c:pt idx="16">
                  <c:v>6691</c:v>
                </c:pt>
                <c:pt idx="17">
                  <c:v>2148</c:v>
                </c:pt>
                <c:pt idx="18">
                  <c:v>412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C-4E53-992D-76BECD6E09DD}"/>
            </c:ext>
          </c:extLst>
        </c:ser>
        <c:ser>
          <c:idx val="1"/>
          <c:order val="1"/>
          <c:tx>
            <c:strRef>
              <c:f>GICIS309!$C$8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GICIS309!$A$9:$A$32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GICIS309!$C$9:$C$32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604</c:v>
                </c:pt>
                <c:pt idx="8">
                  <c:v>1343</c:v>
                </c:pt>
                <c:pt idx="9">
                  <c:v>5128</c:v>
                </c:pt>
                <c:pt idx="10">
                  <c:v>5321</c:v>
                </c:pt>
                <c:pt idx="11">
                  <c:v>5983</c:v>
                </c:pt>
                <c:pt idx="12">
                  <c:v>11906</c:v>
                </c:pt>
                <c:pt idx="13">
                  <c:v>9792</c:v>
                </c:pt>
                <c:pt idx="14">
                  <c:v>4906</c:v>
                </c:pt>
                <c:pt idx="15">
                  <c:v>5960</c:v>
                </c:pt>
                <c:pt idx="16">
                  <c:v>9751</c:v>
                </c:pt>
                <c:pt idx="17">
                  <c:v>4221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1C-4E53-992D-76BECD6E0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31416"/>
        <c:axId val="752624528"/>
      </c:scatterChart>
      <c:valAx>
        <c:axId val="752631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24528"/>
        <c:crosses val="autoZero"/>
        <c:crossBetween val="midCat"/>
      </c:valAx>
      <c:valAx>
        <c:axId val="75262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GICIS309!$F$13:$F$17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GICIS309!$G$13:$G$17</c:f>
              <c:numCache>
                <c:formatCode>0.00%</c:formatCode>
                <c:ptCount val="5"/>
                <c:pt idx="0">
                  <c:v>0.28167414308718658</c:v>
                </c:pt>
                <c:pt idx="1">
                  <c:v>0.18417448780864562</c:v>
                </c:pt>
                <c:pt idx="2">
                  <c:v>0.25854238565246584</c:v>
                </c:pt>
                <c:pt idx="3">
                  <c:v>0.59096468448044559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A9-4D2C-B763-D57C57DA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007296"/>
        <c:axId val="852008280"/>
      </c:scatterChart>
      <c:valAx>
        <c:axId val="85200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8280"/>
        <c:crosses val="autoZero"/>
        <c:crossBetween val="midCat"/>
      </c:valAx>
      <c:valAx>
        <c:axId val="85200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GICIS309!$F$41:$F$45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GICIS309!$O$13:$O$17</c:f>
              <c:numCache>
                <c:formatCode>0.00%</c:formatCode>
                <c:ptCount val="5"/>
                <c:pt idx="0">
                  <c:v>8.4473282263630114E-2</c:v>
                </c:pt>
                <c:pt idx="1">
                  <c:v>0.33747877248547931</c:v>
                </c:pt>
                <c:pt idx="2">
                  <c:v>0.25854238565246584</c:v>
                </c:pt>
                <c:pt idx="3">
                  <c:v>0.59096468448044559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6-444D-82F0-40ED27F9A96A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GICIS309!$F$41:$F$45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GICIS309!$G$41:$G$45</c:f>
              <c:numCache>
                <c:formatCode>0.00%</c:formatCode>
                <c:ptCount val="5"/>
                <c:pt idx="0">
                  <c:v>8.4473282263630114E-2</c:v>
                </c:pt>
                <c:pt idx="1">
                  <c:v>0.33747877248547931</c:v>
                </c:pt>
                <c:pt idx="2">
                  <c:v>0.25854238565246584</c:v>
                </c:pt>
                <c:pt idx="3">
                  <c:v>0.34226782898174024</c:v>
                </c:pt>
                <c:pt idx="4">
                  <c:v>0.96359223300970864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6-444D-82F0-40ED27F9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GICIS309!$G$13:$G$17</c:f>
              <c:numCache>
                <c:formatCode>0.00%</c:formatCode>
                <c:ptCount val="5"/>
                <c:pt idx="0">
                  <c:v>0.28167414308718658</c:v>
                </c:pt>
                <c:pt idx="1">
                  <c:v>0.18417448780864562</c:v>
                </c:pt>
                <c:pt idx="2">
                  <c:v>0.25854238565246584</c:v>
                </c:pt>
                <c:pt idx="3">
                  <c:v>0.59096468448044559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6-444D-82F0-40ED27F9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GICIS310!$B$8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GICIS310!$B$9:$B$32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4871</c:v>
                </c:pt>
                <c:pt idx="8">
                  <c:v>35284</c:v>
                </c:pt>
                <c:pt idx="9">
                  <c:v>102803</c:v>
                </c:pt>
                <c:pt idx="10">
                  <c:v>169574</c:v>
                </c:pt>
                <c:pt idx="11">
                  <c:v>167916</c:v>
                </c:pt>
                <c:pt idx="12">
                  <c:v>164215</c:v>
                </c:pt>
                <c:pt idx="13">
                  <c:v>153332</c:v>
                </c:pt>
                <c:pt idx="14">
                  <c:v>92871</c:v>
                </c:pt>
                <c:pt idx="15">
                  <c:v>52542</c:v>
                </c:pt>
                <c:pt idx="16">
                  <c:v>35075</c:v>
                </c:pt>
                <c:pt idx="17">
                  <c:v>11967</c:v>
                </c:pt>
                <c:pt idx="18">
                  <c:v>815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7-4812-80AF-F72662E4DD8E}"/>
            </c:ext>
          </c:extLst>
        </c:ser>
        <c:ser>
          <c:idx val="1"/>
          <c:order val="1"/>
          <c:tx>
            <c:strRef>
              <c:f>GICIS310!$C$8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GICIS310!$C$9:$C$32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18805</c:v>
                </c:pt>
                <c:pt idx="8">
                  <c:v>25383</c:v>
                </c:pt>
                <c:pt idx="9">
                  <c:v>60520</c:v>
                </c:pt>
                <c:pt idx="10">
                  <c:v>128463</c:v>
                </c:pt>
                <c:pt idx="11">
                  <c:v>179254</c:v>
                </c:pt>
                <c:pt idx="12">
                  <c:v>149156</c:v>
                </c:pt>
                <c:pt idx="13">
                  <c:v>149529</c:v>
                </c:pt>
                <c:pt idx="14">
                  <c:v>131596</c:v>
                </c:pt>
                <c:pt idx="15">
                  <c:v>59707</c:v>
                </c:pt>
                <c:pt idx="16">
                  <c:v>37721</c:v>
                </c:pt>
                <c:pt idx="17">
                  <c:v>26578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A7-4812-80AF-F72662E4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639280"/>
        <c:axId val="894640264"/>
      </c:scatterChart>
      <c:valAx>
        <c:axId val="89463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40264"/>
        <c:crosses val="autoZero"/>
        <c:crossBetween val="midCat"/>
      </c:valAx>
      <c:valAx>
        <c:axId val="89464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9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GICIS310!$F$13:$F$17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GICIS310!$G$13:$G$17</c:f>
              <c:numCache>
                <c:formatCode>0.00%</c:formatCode>
                <c:ptCount val="5"/>
                <c:pt idx="0">
                  <c:v>1.0470707822257117</c:v>
                </c:pt>
                <c:pt idx="1">
                  <c:v>0.24042000432461608</c:v>
                </c:pt>
                <c:pt idx="2">
                  <c:v>0.17782719194680677</c:v>
                </c:pt>
                <c:pt idx="3">
                  <c:v>0.47758212135501193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7B-470F-9442-8F239D81B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59976"/>
        <c:axId val="1178057352"/>
      </c:scatterChart>
      <c:valAx>
        <c:axId val="11780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7352"/>
        <c:crosses val="autoZero"/>
        <c:crossBetween val="midCat"/>
      </c:valAx>
      <c:valAx>
        <c:axId val="117805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GICIS310!$O$13:$O$17</c:f>
              <c:numCache>
                <c:formatCode>0.00%</c:formatCode>
                <c:ptCount val="5"/>
                <c:pt idx="0">
                  <c:v>1.2586310781540342</c:v>
                </c:pt>
                <c:pt idx="1">
                  <c:v>0.14941932480164499</c:v>
                </c:pt>
                <c:pt idx="2">
                  <c:v>0.17782719194680677</c:v>
                </c:pt>
                <c:pt idx="3">
                  <c:v>0.47758212135501193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3-F44D-8FF8-D3802B64BA34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GICIS310!$G$41:$G$45</c:f>
              <c:numCache>
                <c:formatCode>0.00%</c:formatCode>
                <c:ptCount val="5"/>
                <c:pt idx="0">
                  <c:v>1.2586310781540342</c:v>
                </c:pt>
                <c:pt idx="1">
                  <c:v>0.14941932480164499</c:v>
                </c:pt>
                <c:pt idx="2">
                  <c:v>0.17782719194680677</c:v>
                </c:pt>
                <c:pt idx="3">
                  <c:v>1.9910996339867435</c:v>
                </c:pt>
                <c:pt idx="4">
                  <c:v>3.9614373357873212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3-F44D-8FF8-D3802B64B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GICIS309!$F$13:$F$17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GICIS310!$G$13:$G$17</c:f>
              <c:numCache>
                <c:formatCode>0.00%</c:formatCode>
                <c:ptCount val="5"/>
                <c:pt idx="0">
                  <c:v>1.0470707822257117</c:v>
                </c:pt>
                <c:pt idx="1">
                  <c:v>0.24042000432461608</c:v>
                </c:pt>
                <c:pt idx="2">
                  <c:v>0.17782719194680677</c:v>
                </c:pt>
                <c:pt idx="3">
                  <c:v>0.47758212135501193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3-F44D-8FF8-D3802B64B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GICIS311!$B$8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GICIS311!$B$9:$B$32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14926</c:v>
                </c:pt>
                <c:pt idx="8">
                  <c:v>82932</c:v>
                </c:pt>
                <c:pt idx="9">
                  <c:v>131301</c:v>
                </c:pt>
                <c:pt idx="10">
                  <c:v>135999</c:v>
                </c:pt>
                <c:pt idx="11">
                  <c:v>133700</c:v>
                </c:pt>
                <c:pt idx="12">
                  <c:v>133643</c:v>
                </c:pt>
                <c:pt idx="13">
                  <c:v>118410</c:v>
                </c:pt>
                <c:pt idx="14">
                  <c:v>125860</c:v>
                </c:pt>
                <c:pt idx="15">
                  <c:v>71779</c:v>
                </c:pt>
                <c:pt idx="16">
                  <c:v>63717</c:v>
                </c:pt>
                <c:pt idx="17">
                  <c:v>14290</c:v>
                </c:pt>
                <c:pt idx="18">
                  <c:v>1916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0-4DA9-A75C-14CF90AB6EC4}"/>
            </c:ext>
          </c:extLst>
        </c:ser>
        <c:ser>
          <c:idx val="1"/>
          <c:order val="1"/>
          <c:tx>
            <c:strRef>
              <c:f>GICIS311!$C$8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GICIS311!$C$9:$C$32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12410</c:v>
                </c:pt>
                <c:pt idx="8">
                  <c:v>32931</c:v>
                </c:pt>
                <c:pt idx="9">
                  <c:v>116457</c:v>
                </c:pt>
                <c:pt idx="10">
                  <c:v>139364</c:v>
                </c:pt>
                <c:pt idx="11">
                  <c:v>127400</c:v>
                </c:pt>
                <c:pt idx="12">
                  <c:v>127758</c:v>
                </c:pt>
                <c:pt idx="13">
                  <c:v>126450</c:v>
                </c:pt>
                <c:pt idx="14">
                  <c:v>104873</c:v>
                </c:pt>
                <c:pt idx="15">
                  <c:v>126520</c:v>
                </c:pt>
                <c:pt idx="16">
                  <c:v>33532</c:v>
                </c:pt>
                <c:pt idx="17">
                  <c:v>55756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A0-4DA9-A75C-14CF90AB6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691920"/>
        <c:axId val="850687000"/>
      </c:scatterChart>
      <c:valAx>
        <c:axId val="85069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87000"/>
        <c:crosses val="autoZero"/>
        <c:crossBetween val="midCat"/>
      </c:valAx>
      <c:valAx>
        <c:axId val="85068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GICIS311!$G$13:$G$17</c:f>
              <c:numCache>
                <c:formatCode>0.00%</c:formatCode>
                <c:ptCount val="5"/>
                <c:pt idx="0">
                  <c:v>0.25716018733464102</c:v>
                </c:pt>
                <c:pt idx="1">
                  <c:v>6.1638820482661193E-2</c:v>
                </c:pt>
                <c:pt idx="2">
                  <c:v>9.2894555763792838E-2</c:v>
                </c:pt>
                <c:pt idx="3">
                  <c:v>1.3793724746059521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D1-4F6E-A5A1-1404B8CDA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700776"/>
        <c:axId val="850705368"/>
      </c:scatterChart>
      <c:valAx>
        <c:axId val="85070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5368"/>
        <c:crosses val="autoZero"/>
        <c:crossBetween val="midCat"/>
      </c:valAx>
      <c:valAx>
        <c:axId val="85070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GICIS311!$O$13:$O$17</c:f>
              <c:numCache>
                <c:formatCode>0.00%</c:formatCode>
                <c:ptCount val="5"/>
                <c:pt idx="0">
                  <c:v>5.8290823280944593E-2</c:v>
                </c:pt>
                <c:pt idx="1">
                  <c:v>5.9504502424662133E-2</c:v>
                </c:pt>
                <c:pt idx="2">
                  <c:v>9.2894555763792838E-2</c:v>
                </c:pt>
                <c:pt idx="3">
                  <c:v>1.3793724746059521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7-6A49-9E86-A5F98C4A0CD5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GICIS311!$G$41:$G$45</c:f>
              <c:numCache>
                <c:formatCode>0.00%</c:formatCode>
                <c:ptCount val="5"/>
                <c:pt idx="0">
                  <c:v>5.8290823280944593E-2</c:v>
                </c:pt>
                <c:pt idx="1">
                  <c:v>5.9504502424662133E-2</c:v>
                </c:pt>
                <c:pt idx="2">
                  <c:v>9.2894555763792838E-2</c:v>
                </c:pt>
                <c:pt idx="3">
                  <c:v>1.1495931785221938</c:v>
                </c:pt>
                <c:pt idx="4">
                  <c:v>1.3126553335073072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07-6A49-9E86-A5F98C4A0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GICIS311!$G$13:$G$17</c:f>
              <c:numCache>
                <c:formatCode>0.00%</c:formatCode>
                <c:ptCount val="5"/>
                <c:pt idx="0">
                  <c:v>0.25716018733464102</c:v>
                </c:pt>
                <c:pt idx="1">
                  <c:v>6.1638820482661193E-2</c:v>
                </c:pt>
                <c:pt idx="2">
                  <c:v>9.2894555763792838E-2</c:v>
                </c:pt>
                <c:pt idx="3">
                  <c:v>1.3793724746059521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07-6A49-9E86-A5F98C4A0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GICIS312!$B$8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GICIS312!$B$9:$B$32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14626</c:v>
                </c:pt>
                <c:pt idx="8">
                  <c:v>79019</c:v>
                </c:pt>
                <c:pt idx="9">
                  <c:v>122379</c:v>
                </c:pt>
                <c:pt idx="10">
                  <c:v>126773</c:v>
                </c:pt>
                <c:pt idx="11">
                  <c:v>125443</c:v>
                </c:pt>
                <c:pt idx="12">
                  <c:v>123656</c:v>
                </c:pt>
                <c:pt idx="13">
                  <c:v>113466</c:v>
                </c:pt>
                <c:pt idx="14">
                  <c:v>116149</c:v>
                </c:pt>
                <c:pt idx="15">
                  <c:v>76887</c:v>
                </c:pt>
                <c:pt idx="16">
                  <c:v>60175</c:v>
                </c:pt>
                <c:pt idx="17">
                  <c:v>13644</c:v>
                </c:pt>
                <c:pt idx="18">
                  <c:v>1857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3-44DF-9073-E71A5271360C}"/>
            </c:ext>
          </c:extLst>
        </c:ser>
        <c:ser>
          <c:idx val="1"/>
          <c:order val="1"/>
          <c:tx>
            <c:strRef>
              <c:f>GICIS312!$C$8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GICIS312!$C$9:$C$32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12042</c:v>
                </c:pt>
                <c:pt idx="8">
                  <c:v>31681</c:v>
                </c:pt>
                <c:pt idx="9">
                  <c:v>109095</c:v>
                </c:pt>
                <c:pt idx="10">
                  <c:v>128955</c:v>
                </c:pt>
                <c:pt idx="11">
                  <c:v>119373</c:v>
                </c:pt>
                <c:pt idx="12">
                  <c:v>120067</c:v>
                </c:pt>
                <c:pt idx="13">
                  <c:v>116334</c:v>
                </c:pt>
                <c:pt idx="14">
                  <c:v>102886</c:v>
                </c:pt>
                <c:pt idx="15">
                  <c:v>113319</c:v>
                </c:pt>
                <c:pt idx="16">
                  <c:v>48025</c:v>
                </c:pt>
                <c:pt idx="17">
                  <c:v>45398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3-44DF-9073-E71A52713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54376"/>
        <c:axId val="752650768"/>
      </c:scatterChart>
      <c:valAx>
        <c:axId val="7526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50768"/>
        <c:crosses val="autoZero"/>
        <c:crossBetween val="midCat"/>
      </c:valAx>
      <c:valAx>
        <c:axId val="75265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5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GICIS312!$G$13:$G$17</c:f>
              <c:numCache>
                <c:formatCode>0.00%</c:formatCode>
                <c:ptCount val="5"/>
                <c:pt idx="0">
                  <c:v>0.25858093001628285</c:v>
                </c:pt>
                <c:pt idx="1">
                  <c:v>5.8049471066297507E-2</c:v>
                </c:pt>
                <c:pt idx="2">
                  <c:v>5.6163297799038836E-2</c:v>
                </c:pt>
                <c:pt idx="3">
                  <c:v>1.0010242294527731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2-45C6-B9B2-72BAE579A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51424"/>
        <c:axId val="752646176"/>
      </c:scatterChart>
      <c:valAx>
        <c:axId val="75265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46176"/>
        <c:crosses val="autoZero"/>
        <c:crossBetween val="midCat"/>
      </c:valAx>
      <c:valAx>
        <c:axId val="7526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5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GICIS312!$O$13:$O$17</c:f>
              <c:numCache>
                <c:formatCode>0.00%</c:formatCode>
                <c:ptCount val="5"/>
                <c:pt idx="0">
                  <c:v>6.5791527143857054E-2</c:v>
                </c:pt>
                <c:pt idx="1">
                  <c:v>5.6094576065248848E-2</c:v>
                </c:pt>
                <c:pt idx="2">
                  <c:v>5.6163297799038836E-2</c:v>
                </c:pt>
                <c:pt idx="3">
                  <c:v>1.0010242294527731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7A-FB47-A990-8CB7CA8DBF04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GICIS312!$G$41:$G$45</c:f>
              <c:numCache>
                <c:formatCode>0.00%</c:formatCode>
                <c:ptCount val="5"/>
                <c:pt idx="0">
                  <c:v>6.5791527143857054E-2</c:v>
                </c:pt>
                <c:pt idx="1">
                  <c:v>5.6094576065248848E-2</c:v>
                </c:pt>
                <c:pt idx="2">
                  <c:v>5.6163297799038836E-2</c:v>
                </c:pt>
                <c:pt idx="3">
                  <c:v>1.0500650299922036</c:v>
                </c:pt>
                <c:pt idx="4">
                  <c:v>1.2833551299587149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7A-FB47-A990-8CB7CA8DB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GICIS312!$G$13:$G$17</c:f>
              <c:numCache>
                <c:formatCode>0.00%</c:formatCode>
                <c:ptCount val="5"/>
                <c:pt idx="0">
                  <c:v>0.25858093001628285</c:v>
                </c:pt>
                <c:pt idx="1">
                  <c:v>5.8049471066297507E-2</c:v>
                </c:pt>
                <c:pt idx="2">
                  <c:v>5.6163297799038836E-2</c:v>
                </c:pt>
                <c:pt idx="3">
                  <c:v>1.0010242294527731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7A-FB47-A990-8CB7CA8DB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GICIS313!$B$8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GICIS313!$B$9:$B$32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5473</c:v>
                </c:pt>
                <c:pt idx="8">
                  <c:v>21082</c:v>
                </c:pt>
                <c:pt idx="9">
                  <c:v>24064</c:v>
                </c:pt>
                <c:pt idx="10">
                  <c:v>25531</c:v>
                </c:pt>
                <c:pt idx="11">
                  <c:v>26963</c:v>
                </c:pt>
                <c:pt idx="12">
                  <c:v>26311</c:v>
                </c:pt>
                <c:pt idx="13">
                  <c:v>25086</c:v>
                </c:pt>
                <c:pt idx="14">
                  <c:v>25472</c:v>
                </c:pt>
                <c:pt idx="15">
                  <c:v>19867</c:v>
                </c:pt>
                <c:pt idx="16">
                  <c:v>22511</c:v>
                </c:pt>
                <c:pt idx="17">
                  <c:v>12323</c:v>
                </c:pt>
                <c:pt idx="18">
                  <c:v>1117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F-46F2-8451-2C057CE43919}"/>
            </c:ext>
          </c:extLst>
        </c:ser>
        <c:ser>
          <c:idx val="1"/>
          <c:order val="1"/>
          <c:tx>
            <c:strRef>
              <c:f>GICIS313!$C$8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GICIS313!$C$9:$C$32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4463</c:v>
                </c:pt>
                <c:pt idx="8">
                  <c:v>11370</c:v>
                </c:pt>
                <c:pt idx="9">
                  <c:v>27724</c:v>
                </c:pt>
                <c:pt idx="10">
                  <c:v>24171</c:v>
                </c:pt>
                <c:pt idx="11">
                  <c:v>25609</c:v>
                </c:pt>
                <c:pt idx="12">
                  <c:v>26782</c:v>
                </c:pt>
                <c:pt idx="13">
                  <c:v>24612</c:v>
                </c:pt>
                <c:pt idx="14">
                  <c:v>23262</c:v>
                </c:pt>
                <c:pt idx="15">
                  <c:v>23920</c:v>
                </c:pt>
                <c:pt idx="16">
                  <c:v>15818</c:v>
                </c:pt>
                <c:pt idx="17">
                  <c:v>20615</c:v>
                </c:pt>
                <c:pt idx="18">
                  <c:v>6066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0F-46F2-8451-2C057CE4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701432"/>
        <c:axId val="850704384"/>
      </c:scatterChart>
      <c:valAx>
        <c:axId val="85070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4384"/>
        <c:crosses val="autoZero"/>
        <c:crossBetween val="midCat"/>
      </c:valAx>
      <c:valAx>
        <c:axId val="85070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GICIS313!$G$13:$G$17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01-453D-84A6-52FADA341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707184"/>
        <c:axId val="893703576"/>
      </c:scatterChart>
      <c:valAx>
        <c:axId val="89370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03576"/>
        <c:crosses val="autoZero"/>
        <c:crossBetween val="midCat"/>
      </c:valAx>
      <c:valAx>
        <c:axId val="89370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0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GICIS313!$O$13:$O$17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3-1748-A894-76C593EE1648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GICIS313!$G$41:$G$45</c:f>
              <c:numCache>
                <c:formatCode>0.00%</c:formatCode>
                <c:ptCount val="5"/>
                <c:pt idx="0">
                  <c:v>0.22394033333333332</c:v>
                </c:pt>
                <c:pt idx="1">
                  <c:v>8.9365000000000014E-2</c:v>
                </c:pt>
                <c:pt idx="2">
                  <c:v>4.1186E-2</c:v>
                </c:pt>
                <c:pt idx="3">
                  <c:v>0.12447966666666666</c:v>
                </c:pt>
                <c:pt idx="4">
                  <c:v>0.36274899999999999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43-1748-A894-76C593EE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GICIS313!$G$13:$G$17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43-1748-A894-76C593EE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GICIS314!$B$8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GICIS314!$B$9:$B$32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6439</c:v>
                </c:pt>
                <c:pt idx="8">
                  <c:v>23885</c:v>
                </c:pt>
                <c:pt idx="9">
                  <c:v>27418</c:v>
                </c:pt>
                <c:pt idx="10">
                  <c:v>27103</c:v>
                </c:pt>
                <c:pt idx="11">
                  <c:v>28672</c:v>
                </c:pt>
                <c:pt idx="12">
                  <c:v>27874</c:v>
                </c:pt>
                <c:pt idx="13">
                  <c:v>26562</c:v>
                </c:pt>
                <c:pt idx="14">
                  <c:v>27052</c:v>
                </c:pt>
                <c:pt idx="15">
                  <c:v>20626</c:v>
                </c:pt>
                <c:pt idx="16">
                  <c:v>23483</c:v>
                </c:pt>
                <c:pt idx="17">
                  <c:v>12853</c:v>
                </c:pt>
                <c:pt idx="18">
                  <c:v>1122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5E-4FE3-8E56-1459BF111BD1}"/>
            </c:ext>
          </c:extLst>
        </c:ser>
        <c:ser>
          <c:idx val="1"/>
          <c:order val="1"/>
          <c:tx>
            <c:strRef>
              <c:f>GICIS314!$C$8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GICIS314!$C$9:$C$32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5109</c:v>
                </c:pt>
                <c:pt idx="8">
                  <c:v>12905</c:v>
                </c:pt>
                <c:pt idx="9">
                  <c:v>29265</c:v>
                </c:pt>
                <c:pt idx="10">
                  <c:v>27648</c:v>
                </c:pt>
                <c:pt idx="11">
                  <c:v>26562</c:v>
                </c:pt>
                <c:pt idx="12">
                  <c:v>28597</c:v>
                </c:pt>
                <c:pt idx="13">
                  <c:v>26080</c:v>
                </c:pt>
                <c:pt idx="14">
                  <c:v>24443</c:v>
                </c:pt>
                <c:pt idx="15">
                  <c:v>25394</c:v>
                </c:pt>
                <c:pt idx="16">
                  <c:v>16497</c:v>
                </c:pt>
                <c:pt idx="17">
                  <c:v>21148</c:v>
                </c:pt>
                <c:pt idx="18">
                  <c:v>6666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5E-4FE3-8E56-1459BF111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719320"/>
        <c:axId val="893715712"/>
      </c:scatterChart>
      <c:valAx>
        <c:axId val="89371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15712"/>
        <c:crosses val="autoZero"/>
        <c:crossBetween val="midCat"/>
      </c:valAx>
      <c:valAx>
        <c:axId val="89371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371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GICIS314!$F$13:$F$17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GICIS314!$G$13:$G$17</c:f>
              <c:numCache>
                <c:formatCode>0.00%</c:formatCode>
                <c:ptCount val="5"/>
                <c:pt idx="0">
                  <c:v>0.22208551833690771</c:v>
                </c:pt>
                <c:pt idx="1">
                  <c:v>5.3687979989216927E-2</c:v>
                </c:pt>
                <c:pt idx="2">
                  <c:v>4.6842753341979515E-2</c:v>
                </c:pt>
                <c:pt idx="3">
                  <c:v>0.3913436576297678</c:v>
                </c:pt>
                <c:pt idx="4">
                  <c:v>1.6470588235294119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C-4B85-887C-E8992A802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52104"/>
        <c:axId val="1178055384"/>
      </c:scatterChart>
      <c:valAx>
        <c:axId val="117805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5384"/>
        <c:crosses val="autoZero"/>
        <c:crossBetween val="midCat"/>
      </c:valAx>
      <c:valAx>
        <c:axId val="117805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2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GICIS313!$O$13:$O$17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9-8A45-BD2B-F9DFAD88509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GICIS313!$G$41:$G$45</c:f>
              <c:numCache>
                <c:formatCode>0.00%</c:formatCode>
                <c:ptCount val="5"/>
                <c:pt idx="0">
                  <c:v>0.22394033333333332</c:v>
                </c:pt>
                <c:pt idx="1">
                  <c:v>8.9365000000000014E-2</c:v>
                </c:pt>
                <c:pt idx="2">
                  <c:v>4.1186E-2</c:v>
                </c:pt>
                <c:pt idx="3">
                  <c:v>0.12447966666666666</c:v>
                </c:pt>
                <c:pt idx="4">
                  <c:v>0.36274899999999999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39-8A45-BD2B-F9DFAD885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GICIS313!$G$13:$G$17</c:f>
              <c:numCache>
                <c:formatCode>0.00%</c:formatCode>
                <c:ptCount val="5"/>
                <c:pt idx="0">
                  <c:v>0.21507299999999999</c:v>
                </c:pt>
                <c:pt idx="1">
                  <c:v>8.5193333333333343E-2</c:v>
                </c:pt>
                <c:pt idx="2">
                  <c:v>4.1186E-2</c:v>
                </c:pt>
                <c:pt idx="3">
                  <c:v>0.39140533333333333</c:v>
                </c:pt>
                <c:pt idx="4">
                  <c:v>1.4768726666666667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39-8A45-BD2B-F9DFAD885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GICIS315!$B$8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GICIS315!$B$9:$B$32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8425</c:v>
                </c:pt>
                <c:pt idx="8">
                  <c:v>57663</c:v>
                </c:pt>
                <c:pt idx="9">
                  <c:v>90257</c:v>
                </c:pt>
                <c:pt idx="10">
                  <c:v>95864</c:v>
                </c:pt>
                <c:pt idx="11">
                  <c:v>98245</c:v>
                </c:pt>
                <c:pt idx="12">
                  <c:v>93058</c:v>
                </c:pt>
                <c:pt idx="13">
                  <c:v>91041</c:v>
                </c:pt>
                <c:pt idx="14">
                  <c:v>79152</c:v>
                </c:pt>
                <c:pt idx="15">
                  <c:v>65986</c:v>
                </c:pt>
                <c:pt idx="16">
                  <c:v>39226</c:v>
                </c:pt>
                <c:pt idx="17">
                  <c:v>12013</c:v>
                </c:pt>
                <c:pt idx="18">
                  <c:v>1679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F-4C80-B973-01E9C677B2D1}"/>
            </c:ext>
          </c:extLst>
        </c:ser>
        <c:ser>
          <c:idx val="1"/>
          <c:order val="1"/>
          <c:tx>
            <c:strRef>
              <c:f>GICIS315!$C$8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GICIS315!$C$9:$C$32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8962</c:v>
                </c:pt>
                <c:pt idx="8">
                  <c:v>20265</c:v>
                </c:pt>
                <c:pt idx="9">
                  <c:v>81120</c:v>
                </c:pt>
                <c:pt idx="10">
                  <c:v>94625</c:v>
                </c:pt>
                <c:pt idx="11">
                  <c:v>91747</c:v>
                </c:pt>
                <c:pt idx="12">
                  <c:v>94879</c:v>
                </c:pt>
                <c:pt idx="13">
                  <c:v>85473</c:v>
                </c:pt>
                <c:pt idx="14">
                  <c:v>86267</c:v>
                </c:pt>
                <c:pt idx="15">
                  <c:v>69986</c:v>
                </c:pt>
                <c:pt idx="16">
                  <c:v>52494</c:v>
                </c:pt>
                <c:pt idx="17">
                  <c:v>18406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CF-4C80-B973-01E9C677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456640"/>
        <c:axId val="848457952"/>
      </c:scatterChart>
      <c:valAx>
        <c:axId val="84845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48457952"/>
        <c:crosses val="autoZero"/>
        <c:crossBetween val="midCat"/>
      </c:valAx>
      <c:valAx>
        <c:axId val="8484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4845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GICIS315!$G$13:$G$17</c:f>
              <c:numCache>
                <c:formatCode>0.00%</c:formatCode>
                <c:ptCount val="5"/>
                <c:pt idx="0">
                  <c:v>0.23743344720997595</c:v>
                </c:pt>
                <c:pt idx="1">
                  <c:v>6.0099491889106717E-2</c:v>
                </c:pt>
                <c:pt idx="2">
                  <c:v>5.687267889410319E-2</c:v>
                </c:pt>
                <c:pt idx="3">
                  <c:v>0.31034581315003895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5-444B-A3A8-EB997241C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58336"/>
        <c:axId val="1178060632"/>
      </c:scatterChart>
      <c:valAx>
        <c:axId val="117805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0632"/>
        <c:crosses val="autoZero"/>
        <c:crossBetween val="midCat"/>
      </c:valAx>
      <c:valAx>
        <c:axId val="117806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5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GICIS315!$O$13:$O$17</c:f>
              <c:numCache>
                <c:formatCode>0.00%</c:formatCode>
                <c:ptCount val="5"/>
                <c:pt idx="0">
                  <c:v>0.15074350676908654</c:v>
                </c:pt>
                <c:pt idx="1">
                  <c:v>5.6225897069129692E-2</c:v>
                </c:pt>
                <c:pt idx="2">
                  <c:v>5.687267889410319E-2</c:v>
                </c:pt>
                <c:pt idx="3">
                  <c:v>0.31034581315003895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5E-D34A-B45B-3D4F3676CF3C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GICIS315!$G$41:$G$45</c:f>
              <c:numCache>
                <c:formatCode>0.00%</c:formatCode>
                <c:ptCount val="5"/>
                <c:pt idx="0">
                  <c:v>0.15074350676908654</c:v>
                </c:pt>
                <c:pt idx="1">
                  <c:v>5.6225897069129692E-2</c:v>
                </c:pt>
                <c:pt idx="2">
                  <c:v>5.687267889410319E-2</c:v>
                </c:pt>
                <c:pt idx="3">
                  <c:v>1.1780522537817582</c:v>
                </c:pt>
                <c:pt idx="4">
                  <c:v>0.68402393706571374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5E-D34A-B45B-3D4F3676C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GICIS315!$G$13:$G$17</c:f>
              <c:numCache>
                <c:formatCode>0.00%</c:formatCode>
                <c:ptCount val="5"/>
                <c:pt idx="0">
                  <c:v>0.23743344720997595</c:v>
                </c:pt>
                <c:pt idx="1">
                  <c:v>6.0099491889106717E-2</c:v>
                </c:pt>
                <c:pt idx="2">
                  <c:v>5.687267889410319E-2</c:v>
                </c:pt>
                <c:pt idx="3">
                  <c:v>0.31034581315003895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5E-D34A-B45B-3D4F3676C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GICIS316!$B$8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GICIS316!$B$9:$B$32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2678</c:v>
                </c:pt>
                <c:pt idx="8">
                  <c:v>19285</c:v>
                </c:pt>
                <c:pt idx="9">
                  <c:v>43985</c:v>
                </c:pt>
                <c:pt idx="10">
                  <c:v>49686</c:v>
                </c:pt>
                <c:pt idx="11">
                  <c:v>49857</c:v>
                </c:pt>
                <c:pt idx="12">
                  <c:v>49624</c:v>
                </c:pt>
                <c:pt idx="13">
                  <c:v>46898</c:v>
                </c:pt>
                <c:pt idx="14">
                  <c:v>39149</c:v>
                </c:pt>
                <c:pt idx="15">
                  <c:v>33479</c:v>
                </c:pt>
                <c:pt idx="16">
                  <c:v>24559</c:v>
                </c:pt>
                <c:pt idx="17">
                  <c:v>6331</c:v>
                </c:pt>
                <c:pt idx="18">
                  <c:v>873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6-459D-A44C-539E31D0175E}"/>
            </c:ext>
          </c:extLst>
        </c:ser>
        <c:ser>
          <c:idx val="1"/>
          <c:order val="1"/>
          <c:tx>
            <c:strRef>
              <c:f>GICIS316!$C$8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GICIS316!$C$9:$C$32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390</c:v>
                </c:pt>
                <c:pt idx="8">
                  <c:v>7909</c:v>
                </c:pt>
                <c:pt idx="9">
                  <c:v>30998</c:v>
                </c:pt>
                <c:pt idx="10">
                  <c:v>55901</c:v>
                </c:pt>
                <c:pt idx="11">
                  <c:v>49746</c:v>
                </c:pt>
                <c:pt idx="12">
                  <c:v>49000</c:v>
                </c:pt>
                <c:pt idx="13">
                  <c:v>49311</c:v>
                </c:pt>
                <c:pt idx="14">
                  <c:v>44005</c:v>
                </c:pt>
                <c:pt idx="15">
                  <c:v>34357</c:v>
                </c:pt>
                <c:pt idx="16">
                  <c:v>28616</c:v>
                </c:pt>
                <c:pt idx="17">
                  <c:v>14601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36-459D-A44C-539E31D01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867592"/>
        <c:axId val="850882024"/>
      </c:scatterChart>
      <c:valAx>
        <c:axId val="850867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882024"/>
        <c:crosses val="autoZero"/>
        <c:crossBetween val="midCat"/>
      </c:valAx>
      <c:valAx>
        <c:axId val="85088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867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GICIS316!$G$13:$G$17</c:f>
              <c:numCache>
                <c:formatCode>0.00%</c:formatCode>
                <c:ptCount val="5"/>
                <c:pt idx="0">
                  <c:v>0.481419148809419</c:v>
                </c:pt>
                <c:pt idx="1">
                  <c:v>0.14085721740849511</c:v>
                </c:pt>
                <c:pt idx="2">
                  <c:v>6.268852546763308E-2</c:v>
                </c:pt>
                <c:pt idx="3">
                  <c:v>0.49923004963457807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9-42FF-B44E-D084634AE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332768"/>
        <c:axId val="756331456"/>
      </c:scatterChart>
      <c:valAx>
        <c:axId val="7563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31456"/>
        <c:crosses val="autoZero"/>
        <c:crossBetween val="midCat"/>
      </c:valAx>
      <c:valAx>
        <c:axId val="75633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3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GICIS316!$O$13:$O$17</c:f>
              <c:numCache>
                <c:formatCode>0.00%</c:formatCode>
                <c:ptCount val="5"/>
                <c:pt idx="0">
                  <c:v>9.1566068529884873E-2</c:v>
                </c:pt>
                <c:pt idx="1">
                  <c:v>5.9214666106915059E-2</c:v>
                </c:pt>
                <c:pt idx="2">
                  <c:v>6.268852546763308E-2</c:v>
                </c:pt>
                <c:pt idx="3">
                  <c:v>0.49923004963457807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F-A249-8E1A-B9C5072C41C3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GICIS316!$G$41:$G$45</c:f>
              <c:numCache>
                <c:formatCode>0.00%</c:formatCode>
                <c:ptCount val="5"/>
                <c:pt idx="0">
                  <c:v>9.1566068529884873E-2</c:v>
                </c:pt>
                <c:pt idx="1">
                  <c:v>5.9214666106915059E-2</c:v>
                </c:pt>
                <c:pt idx="2">
                  <c:v>6.268852546763308E-2</c:v>
                </c:pt>
                <c:pt idx="3">
                  <c:v>0.92956764583642471</c:v>
                </c:pt>
                <c:pt idx="4">
                  <c:v>0.9792723505154638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BF-A249-8E1A-B9C5072C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GICIS316!$G$13:$G$17</c:f>
              <c:numCache>
                <c:formatCode>0.00%</c:formatCode>
                <c:ptCount val="5"/>
                <c:pt idx="0">
                  <c:v>0.481419148809419</c:v>
                </c:pt>
                <c:pt idx="1">
                  <c:v>0.14085721740849511</c:v>
                </c:pt>
                <c:pt idx="2">
                  <c:v>6.268852546763308E-2</c:v>
                </c:pt>
                <c:pt idx="3">
                  <c:v>0.49923004963457807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BF-A249-8E1A-B9C5072C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GICIS317!$B$8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GICIS317!$B$9:$B$32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12041</c:v>
                </c:pt>
                <c:pt idx="8">
                  <c:v>67293</c:v>
                </c:pt>
                <c:pt idx="9">
                  <c:v>99712</c:v>
                </c:pt>
                <c:pt idx="10">
                  <c:v>100073</c:v>
                </c:pt>
                <c:pt idx="11">
                  <c:v>100032</c:v>
                </c:pt>
                <c:pt idx="12">
                  <c:v>100271</c:v>
                </c:pt>
                <c:pt idx="13">
                  <c:v>100693</c:v>
                </c:pt>
                <c:pt idx="14">
                  <c:v>96873</c:v>
                </c:pt>
                <c:pt idx="15">
                  <c:v>91881</c:v>
                </c:pt>
                <c:pt idx="16">
                  <c:v>43451</c:v>
                </c:pt>
                <c:pt idx="17">
                  <c:v>11789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7-4D41-B21C-BC6AF8C36D2A}"/>
            </c:ext>
          </c:extLst>
        </c:ser>
        <c:ser>
          <c:idx val="1"/>
          <c:order val="1"/>
          <c:tx>
            <c:strRef>
              <c:f>GICIS317!$C$8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GICIS317!$A$9:$A$32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GICIS317!$C$9:$C$32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9415</c:v>
                </c:pt>
                <c:pt idx="8">
                  <c:v>25819</c:v>
                </c:pt>
                <c:pt idx="9">
                  <c:v>93160</c:v>
                </c:pt>
                <c:pt idx="10">
                  <c:v>102603</c:v>
                </c:pt>
                <c:pt idx="11">
                  <c:v>93367</c:v>
                </c:pt>
                <c:pt idx="12">
                  <c:v>97581</c:v>
                </c:pt>
                <c:pt idx="13">
                  <c:v>94325</c:v>
                </c:pt>
                <c:pt idx="14">
                  <c:v>94325</c:v>
                </c:pt>
                <c:pt idx="15">
                  <c:v>88098</c:v>
                </c:pt>
                <c:pt idx="16">
                  <c:v>76990</c:v>
                </c:pt>
                <c:pt idx="17">
                  <c:v>9498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7-4D41-B21C-BC6AF8C36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360976"/>
        <c:axId val="756335720"/>
      </c:scatterChart>
      <c:valAx>
        <c:axId val="75636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35720"/>
        <c:crosses val="autoZero"/>
        <c:crossBetween val="midCat"/>
      </c:valAx>
      <c:valAx>
        <c:axId val="75633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6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GICIS317!$G$13:$G$17</c:f>
              <c:numCache>
                <c:formatCode>0.00%</c:formatCode>
                <c:ptCount val="5"/>
                <c:pt idx="0">
                  <c:v>0.27813595843086097</c:v>
                </c:pt>
                <c:pt idx="1">
                  <c:v>5.2539821971351208E-2</c:v>
                </c:pt>
                <c:pt idx="2">
                  <c:v>3.8790503767709983E-2</c:v>
                </c:pt>
                <c:pt idx="3">
                  <c:v>0.33579583054739581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D8-42D6-AFC2-1F4545B95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63912"/>
        <c:axId val="1178067192"/>
      </c:scatterChart>
      <c:valAx>
        <c:axId val="1178063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7192"/>
        <c:crosses val="autoZero"/>
        <c:crossBetween val="midCat"/>
      </c:valAx>
      <c:valAx>
        <c:axId val="117806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178063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GICIS317!$O$13:$O$17</c:f>
              <c:numCache>
                <c:formatCode>0.00%</c:formatCode>
                <c:ptCount val="5"/>
                <c:pt idx="0">
                  <c:v>9.8264792840741744E-2</c:v>
                </c:pt>
                <c:pt idx="1">
                  <c:v>8.7205373045110293E-2</c:v>
                </c:pt>
                <c:pt idx="2">
                  <c:v>3.8790503767709983E-2</c:v>
                </c:pt>
                <c:pt idx="3">
                  <c:v>0.33579583054739581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8-BB4F-8778-830B1EF1A922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GICIS317!$F$41:$F$45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GICIS317!$G$41:$G$45</c:f>
              <c:numCache>
                <c:formatCode>0.00%</c:formatCode>
                <c:ptCount val="5"/>
                <c:pt idx="0">
                  <c:v>9.8264792840741744E-2</c:v>
                </c:pt>
                <c:pt idx="1">
                  <c:v>8.7205373045110293E-2</c:v>
                </c:pt>
                <c:pt idx="2">
                  <c:v>3.8790503767709983E-2</c:v>
                </c:pt>
                <c:pt idx="3">
                  <c:v>1.2234541981728624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E8-BB4F-8778-830B1EF1A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GICIS317!$F$13:$F$17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GICIS317!$G$13:$G$17</c:f>
              <c:numCache>
                <c:formatCode>0.00%</c:formatCode>
                <c:ptCount val="5"/>
                <c:pt idx="0">
                  <c:v>0.27813595843086097</c:v>
                </c:pt>
                <c:pt idx="1">
                  <c:v>5.2539821971351208E-2</c:v>
                </c:pt>
                <c:pt idx="2">
                  <c:v>3.8790503767709983E-2</c:v>
                </c:pt>
                <c:pt idx="3">
                  <c:v>0.33579583054739581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E8-BB4F-8778-830B1EF1A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GICIS318!$B$8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GICIS318!$B$9:$B$32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1282</c:v>
                </c:pt>
                <c:pt idx="8">
                  <c:v>8881</c:v>
                </c:pt>
                <c:pt idx="9">
                  <c:v>12847</c:v>
                </c:pt>
                <c:pt idx="10">
                  <c:v>11017</c:v>
                </c:pt>
                <c:pt idx="11">
                  <c:v>12574</c:v>
                </c:pt>
                <c:pt idx="12">
                  <c:v>9681</c:v>
                </c:pt>
                <c:pt idx="13">
                  <c:v>10119</c:v>
                </c:pt>
                <c:pt idx="14">
                  <c:v>8235</c:v>
                </c:pt>
                <c:pt idx="15">
                  <c:v>4703</c:v>
                </c:pt>
                <c:pt idx="16">
                  <c:v>1339</c:v>
                </c:pt>
                <c:pt idx="17">
                  <c:v>1566</c:v>
                </c:pt>
                <c:pt idx="18">
                  <c:v>153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F-4EF1-804D-7B69290C81EC}"/>
            </c:ext>
          </c:extLst>
        </c:ser>
        <c:ser>
          <c:idx val="1"/>
          <c:order val="1"/>
          <c:tx>
            <c:strRef>
              <c:f>GICIS318!$C$8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GICIS318!$A$9:$A$32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GICIS318!$C$9:$C$32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1031</c:v>
                </c:pt>
                <c:pt idx="8">
                  <c:v>2663</c:v>
                </c:pt>
                <c:pt idx="9">
                  <c:v>11743</c:v>
                </c:pt>
                <c:pt idx="10">
                  <c:v>13157</c:v>
                </c:pt>
                <c:pt idx="11">
                  <c:v>9233</c:v>
                </c:pt>
                <c:pt idx="12">
                  <c:v>12288</c:v>
                </c:pt>
                <c:pt idx="13">
                  <c:v>7833</c:v>
                </c:pt>
                <c:pt idx="14">
                  <c:v>9221</c:v>
                </c:pt>
                <c:pt idx="15">
                  <c:v>6579</c:v>
                </c:pt>
                <c:pt idx="16">
                  <c:v>2404</c:v>
                </c:pt>
                <c:pt idx="17">
                  <c:v>0</c:v>
                </c:pt>
                <c:pt idx="18">
                  <c:v>1318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2F-4EF1-804D-7B69290C8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80728"/>
        <c:axId val="851997456"/>
      </c:scatterChart>
      <c:valAx>
        <c:axId val="8519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7456"/>
        <c:crosses val="autoZero"/>
        <c:crossBetween val="midCat"/>
      </c:valAx>
      <c:valAx>
        <c:axId val="85199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8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ARIMA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GICIS318!$G$13:$G$17</c:f>
              <c:numCache>
                <c:formatCode>0.00%</c:formatCode>
                <c:ptCount val="5"/>
                <c:pt idx="0">
                  <c:v>0.29864473714181089</c:v>
                </c:pt>
                <c:pt idx="1">
                  <c:v>0.18196224373691972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7-4CC7-8B87-E678FF2F5BF9}"/>
            </c:ext>
          </c:extLst>
        </c:ser>
        <c:ser>
          <c:idx val="1"/>
          <c:order val="1"/>
          <c:tx>
            <c:v>ARIMA y prom inicial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GICIS318!$O$13:$O$17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0-6243-BBB5-3AFFA21F1BEC}"/>
            </c:ext>
          </c:extLst>
        </c:ser>
        <c:ser>
          <c:idx val="2"/>
          <c:order val="2"/>
          <c:tx>
            <c:v>ARIMA y prom colas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GICIS318!$G$41:$G$45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1.822051208892647</c:v>
                </c:pt>
                <c:pt idx="4">
                  <c:v>1.0417055708061003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0-6243-BBB5-3AFFA21F1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33056"/>
        <c:axId val="752641912"/>
      </c:scatterChart>
      <c:valAx>
        <c:axId val="75263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41912"/>
        <c:crosses val="autoZero"/>
        <c:crossBetween val="midCat"/>
      </c:valAx>
      <c:valAx>
        <c:axId val="75264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GICIS318!$F$41:$F$45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GICIS318!$O$13:$O$17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09-6948-BD04-B62139EA4D8C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GICIS318!$F$41:$F$45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GICIS318!$G$41:$G$45</c:f>
              <c:numCache>
                <c:formatCode>0.00%</c:formatCode>
                <c:ptCount val="5"/>
                <c:pt idx="0">
                  <c:v>0.31628789420732778</c:v>
                </c:pt>
                <c:pt idx="1">
                  <c:v>0.26665127619585954</c:v>
                </c:pt>
                <c:pt idx="2">
                  <c:v>0.20497828717216612</c:v>
                </c:pt>
                <c:pt idx="3">
                  <c:v>1.822051208892647</c:v>
                </c:pt>
                <c:pt idx="4">
                  <c:v>1.0417055708061003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09-6948-BD04-B62139EA4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GICIS318!$F$13:$F$17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GICIS318!$G$13:$G$17</c:f>
              <c:numCache>
                <c:formatCode>0.00%</c:formatCode>
                <c:ptCount val="5"/>
                <c:pt idx="0">
                  <c:v>0.29864473714181089</c:v>
                </c:pt>
                <c:pt idx="1">
                  <c:v>0.18196224373691972</c:v>
                </c:pt>
                <c:pt idx="2">
                  <c:v>0.20497828717216612</c:v>
                </c:pt>
                <c:pt idx="3">
                  <c:v>0.73142133387917418</c:v>
                </c:pt>
                <c:pt idx="4">
                  <c:v>2.5381263616557734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09-6948-BD04-B62139EA4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GICIS319!$B$8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GICIS319!$A$9:$A$32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GICIS319!$B$9:$B$32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27378</c:v>
                </c:pt>
                <c:pt idx="8">
                  <c:v>108692</c:v>
                </c:pt>
                <c:pt idx="9">
                  <c:v>245469</c:v>
                </c:pt>
                <c:pt idx="10">
                  <c:v>259718</c:v>
                </c:pt>
                <c:pt idx="11">
                  <c:v>221782</c:v>
                </c:pt>
                <c:pt idx="12">
                  <c:v>184258</c:v>
                </c:pt>
                <c:pt idx="13">
                  <c:v>202371</c:v>
                </c:pt>
                <c:pt idx="14">
                  <c:v>153256</c:v>
                </c:pt>
                <c:pt idx="15">
                  <c:v>77703</c:v>
                </c:pt>
                <c:pt idx="16">
                  <c:v>62739</c:v>
                </c:pt>
                <c:pt idx="17">
                  <c:v>7802</c:v>
                </c:pt>
                <c:pt idx="18">
                  <c:v>82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83-4297-AC86-30519C4C807A}"/>
            </c:ext>
          </c:extLst>
        </c:ser>
        <c:ser>
          <c:idx val="1"/>
          <c:order val="1"/>
          <c:tx>
            <c:strRef>
              <c:f>GICIS319!$C$8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GICIS319!$A$9:$A$32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GICIS319!$C$9:$C$32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20285</c:v>
                </c:pt>
                <c:pt idx="8">
                  <c:v>57973</c:v>
                </c:pt>
                <c:pt idx="9">
                  <c:v>151323</c:v>
                </c:pt>
                <c:pt idx="10">
                  <c:v>292041</c:v>
                </c:pt>
                <c:pt idx="11">
                  <c:v>234500</c:v>
                </c:pt>
                <c:pt idx="12">
                  <c:v>200025</c:v>
                </c:pt>
                <c:pt idx="13">
                  <c:v>165188</c:v>
                </c:pt>
                <c:pt idx="14">
                  <c:v>209448</c:v>
                </c:pt>
                <c:pt idx="15">
                  <c:v>113101</c:v>
                </c:pt>
                <c:pt idx="16">
                  <c:v>42950</c:v>
                </c:pt>
                <c:pt idx="17">
                  <c:v>44111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83-4297-AC86-30519C4C8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691264"/>
        <c:axId val="850694216"/>
      </c:scatterChart>
      <c:valAx>
        <c:axId val="85069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4216"/>
        <c:crosses val="autoZero"/>
        <c:crossBetween val="midCat"/>
      </c:valAx>
      <c:valAx>
        <c:axId val="850694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GICIS319!$F$13:$F$17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GICIS319!$G$13:$G$17</c:f>
              <c:numCache>
                <c:formatCode>0.00%</c:formatCode>
                <c:ptCount val="5"/>
                <c:pt idx="0">
                  <c:v>0.24190236988519662</c:v>
                </c:pt>
                <c:pt idx="1">
                  <c:v>0.18844466906489335</c:v>
                </c:pt>
                <c:pt idx="2">
                  <c:v>0.21198717329555741</c:v>
                </c:pt>
                <c:pt idx="3">
                  <c:v>1.8082598949899447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BE7-A389-784C99923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62904"/>
        <c:axId val="752665856"/>
      </c:scatterChart>
      <c:valAx>
        <c:axId val="752662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65856"/>
        <c:crosses val="autoZero"/>
        <c:crossBetween val="midCat"/>
      </c:valAx>
      <c:valAx>
        <c:axId val="7526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6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GICIS319!$F$41:$F$45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GICIS319!$G$41:$G$45</c:f>
              <c:numCache>
                <c:formatCode>0.00%</c:formatCode>
                <c:ptCount val="5"/>
                <c:pt idx="0">
                  <c:v>0.19538900000000001</c:v>
                </c:pt>
                <c:pt idx="1">
                  <c:v>0.16969633333333334</c:v>
                </c:pt>
                <c:pt idx="2">
                  <c:v>0.21198700000000001</c:v>
                </c:pt>
                <c:pt idx="3">
                  <c:v>3.2407503333333332</c:v>
                </c:pt>
                <c:pt idx="4">
                  <c:v>42.070267000000001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3-8544-B805-2F4B93CAF019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strRef>
              <c:f>GICIS319!$F$41:$F$45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GICIS319!$O$13:$O$17</c:f>
              <c:numCache>
                <c:formatCode>0.00%</c:formatCode>
                <c:ptCount val="5"/>
                <c:pt idx="0">
                  <c:v>0.19538915212689459</c:v>
                </c:pt>
                <c:pt idx="1">
                  <c:v>0.16969630223649548</c:v>
                </c:pt>
                <c:pt idx="2">
                  <c:v>0.21198717329555741</c:v>
                </c:pt>
                <c:pt idx="3">
                  <c:v>1.8082598949899447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3-8544-B805-2F4B93CAF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GICIS319!$F$13:$F$17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GICIS319!$G$13:$G$17</c:f>
              <c:numCache>
                <c:formatCode>0.00%</c:formatCode>
                <c:ptCount val="5"/>
                <c:pt idx="0">
                  <c:v>0.24190236988519662</c:v>
                </c:pt>
                <c:pt idx="1">
                  <c:v>0.18844466906489335</c:v>
                </c:pt>
                <c:pt idx="2">
                  <c:v>0.21198717329555741</c:v>
                </c:pt>
                <c:pt idx="3">
                  <c:v>1.8082598949899447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3-8544-B805-2F4B93CAF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GICIS320!$B$8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GICIS320!$B$9:$B$32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10067</c:v>
                </c:pt>
                <c:pt idx="8">
                  <c:v>60048</c:v>
                </c:pt>
                <c:pt idx="9">
                  <c:v>96137</c:v>
                </c:pt>
                <c:pt idx="10">
                  <c:v>96758</c:v>
                </c:pt>
                <c:pt idx="11">
                  <c:v>97727</c:v>
                </c:pt>
                <c:pt idx="12">
                  <c:v>99801</c:v>
                </c:pt>
                <c:pt idx="13">
                  <c:v>91806</c:v>
                </c:pt>
                <c:pt idx="14">
                  <c:v>98476</c:v>
                </c:pt>
                <c:pt idx="15">
                  <c:v>72915</c:v>
                </c:pt>
                <c:pt idx="16">
                  <c:v>17000</c:v>
                </c:pt>
                <c:pt idx="17">
                  <c:v>5180</c:v>
                </c:pt>
                <c:pt idx="18">
                  <c:v>231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3B-4ECE-A5A5-82AF62401C7F}"/>
            </c:ext>
          </c:extLst>
        </c:ser>
        <c:ser>
          <c:idx val="1"/>
          <c:order val="1"/>
          <c:tx>
            <c:strRef>
              <c:f>GICIS320!$C$8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GICIS320!$A$9:$A$32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GICIS320!$C$9:$C$32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13207</c:v>
                </c:pt>
                <c:pt idx="8">
                  <c:v>25911</c:v>
                </c:pt>
                <c:pt idx="9">
                  <c:v>81036</c:v>
                </c:pt>
                <c:pt idx="10">
                  <c:v>99823</c:v>
                </c:pt>
                <c:pt idx="11">
                  <c:v>89299</c:v>
                </c:pt>
                <c:pt idx="12">
                  <c:v>91978</c:v>
                </c:pt>
                <c:pt idx="13">
                  <c:v>92095</c:v>
                </c:pt>
                <c:pt idx="14">
                  <c:v>80688</c:v>
                </c:pt>
                <c:pt idx="15">
                  <c:v>90965</c:v>
                </c:pt>
                <c:pt idx="16">
                  <c:v>52037</c:v>
                </c:pt>
                <c:pt idx="17">
                  <c:v>0</c:v>
                </c:pt>
                <c:pt idx="18">
                  <c:v>3126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3B-4ECE-A5A5-82AF62401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636336"/>
        <c:axId val="752637976"/>
      </c:scatterChart>
      <c:valAx>
        <c:axId val="75263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7976"/>
        <c:crosses val="autoZero"/>
        <c:crossBetween val="midCat"/>
      </c:valAx>
      <c:valAx>
        <c:axId val="75263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263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GICIS320!$F$13:$F$17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GICIS320!$G$13:$G$17</c:f>
              <c:numCache>
                <c:formatCode>0.00%</c:formatCode>
                <c:ptCount val="5"/>
                <c:pt idx="0">
                  <c:v>0.29346846849529418</c:v>
                </c:pt>
                <c:pt idx="1">
                  <c:v>9.1665042667074537E-2</c:v>
                </c:pt>
                <c:pt idx="2">
                  <c:v>8.738892502252904E-2</c:v>
                </c:pt>
                <c:pt idx="3">
                  <c:v>1.1028495051315457</c:v>
                </c:pt>
                <c:pt idx="4">
                  <c:v>4.1774891774891776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11-41E4-8F38-DC96E004B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631080"/>
        <c:axId val="894638296"/>
      </c:scatterChart>
      <c:valAx>
        <c:axId val="894631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8296"/>
        <c:crosses val="autoZero"/>
        <c:crossBetween val="midCat"/>
      </c:valAx>
      <c:valAx>
        <c:axId val="89463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1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GICIS320!$O$13:$O$17</c:f>
              <c:numCache>
                <c:formatCode>0.00%</c:formatCode>
                <c:ptCount val="5"/>
                <c:pt idx="0">
                  <c:v>0.10257402361028407</c:v>
                </c:pt>
                <c:pt idx="1">
                  <c:v>8.5105455331640045E-2</c:v>
                </c:pt>
                <c:pt idx="2">
                  <c:v>8.738892502252904E-2</c:v>
                </c:pt>
                <c:pt idx="3">
                  <c:v>1.1028495051315457</c:v>
                </c:pt>
                <c:pt idx="4">
                  <c:v>4.1774891774891776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5-F446-B0C3-F98F2D58A760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GICIS320!$F$41:$F$45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GICIS320!$G$41:$G$45</c:f>
              <c:numCache>
                <c:formatCode>0.00%</c:formatCode>
                <c:ptCount val="5"/>
                <c:pt idx="0">
                  <c:v>0.10257402361028407</c:v>
                </c:pt>
                <c:pt idx="1">
                  <c:v>8.5105455331640045E-2</c:v>
                </c:pt>
                <c:pt idx="2">
                  <c:v>8.738892502252904E-2</c:v>
                </c:pt>
                <c:pt idx="3">
                  <c:v>3.5817714738830784</c:v>
                </c:pt>
                <c:pt idx="4">
                  <c:v>8.0412286132756119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C5-F446-B0C3-F98F2D58A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GICIS320!$F$13:$F$17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GICIS320!$G$13:$G$17</c:f>
              <c:numCache>
                <c:formatCode>0.00%</c:formatCode>
                <c:ptCount val="5"/>
                <c:pt idx="0">
                  <c:v>0.29346846849529418</c:v>
                </c:pt>
                <c:pt idx="1">
                  <c:v>9.1665042667074537E-2</c:v>
                </c:pt>
                <c:pt idx="2">
                  <c:v>8.738892502252904E-2</c:v>
                </c:pt>
                <c:pt idx="3">
                  <c:v>1.1028495051315457</c:v>
                </c:pt>
                <c:pt idx="4">
                  <c:v>4.1774891774891776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C5-F446-B0C3-F98F2D58A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GICIS321!$B$8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GICIS321!$B$9:$B$32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17740</c:v>
                </c:pt>
                <c:pt idx="8">
                  <c:v>44948</c:v>
                </c:pt>
                <c:pt idx="9">
                  <c:v>68701</c:v>
                </c:pt>
                <c:pt idx="10">
                  <c:v>107638</c:v>
                </c:pt>
                <c:pt idx="11">
                  <c:v>100243</c:v>
                </c:pt>
                <c:pt idx="12">
                  <c:v>79295</c:v>
                </c:pt>
                <c:pt idx="13">
                  <c:v>84740</c:v>
                </c:pt>
                <c:pt idx="14">
                  <c:v>70830</c:v>
                </c:pt>
                <c:pt idx="15">
                  <c:v>45907</c:v>
                </c:pt>
                <c:pt idx="16">
                  <c:v>21979</c:v>
                </c:pt>
                <c:pt idx="17">
                  <c:v>883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E-4CAC-A2D1-AEBEB4D299A5}"/>
            </c:ext>
          </c:extLst>
        </c:ser>
        <c:ser>
          <c:idx val="1"/>
          <c:order val="1"/>
          <c:tx>
            <c:strRef>
              <c:f>GICIS321!$C$8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GICIS321!$A$9:$A$32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GICIS321!$C$9:$C$32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14145</c:v>
                </c:pt>
                <c:pt idx="8">
                  <c:v>34884</c:v>
                </c:pt>
                <c:pt idx="9">
                  <c:v>59569</c:v>
                </c:pt>
                <c:pt idx="10">
                  <c:v>76128</c:v>
                </c:pt>
                <c:pt idx="11">
                  <c:v>112442</c:v>
                </c:pt>
                <c:pt idx="12">
                  <c:v>88579</c:v>
                </c:pt>
                <c:pt idx="13">
                  <c:v>65495</c:v>
                </c:pt>
                <c:pt idx="14">
                  <c:v>80312</c:v>
                </c:pt>
                <c:pt idx="15">
                  <c:v>58144</c:v>
                </c:pt>
                <c:pt idx="16">
                  <c:v>31677</c:v>
                </c:pt>
                <c:pt idx="17">
                  <c:v>12658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E-4CAC-A2D1-AEBEB4D29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12632"/>
        <c:axId val="617105416"/>
      </c:scatterChart>
      <c:valAx>
        <c:axId val="61711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05416"/>
        <c:crosses val="autoZero"/>
        <c:crossBetween val="midCat"/>
      </c:valAx>
      <c:valAx>
        <c:axId val="61710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GICIS321!$G$13:$G$17</c:f>
              <c:numCache>
                <c:formatCode>0.00%</c:formatCode>
                <c:ptCount val="5"/>
                <c:pt idx="0">
                  <c:v>0.14218418564563159</c:v>
                </c:pt>
                <c:pt idx="1">
                  <c:v>0.182452864741983</c:v>
                </c:pt>
                <c:pt idx="2">
                  <c:v>0.15935268520705007</c:v>
                </c:pt>
                <c:pt idx="3">
                  <c:v>4.6810069527127078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2-4505-8D2E-B6E72856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342608"/>
        <c:axId val="756340312"/>
      </c:scatterChart>
      <c:valAx>
        <c:axId val="7563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40312"/>
        <c:crosses val="autoZero"/>
        <c:crossBetween val="midCat"/>
      </c:valAx>
      <c:valAx>
        <c:axId val="75634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34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GICIS321!$O$13:$O$17</c:f>
              <c:numCache>
                <c:formatCode>0.00%</c:formatCode>
                <c:ptCount val="5"/>
                <c:pt idx="0">
                  <c:v>0.19459855017985461</c:v>
                </c:pt>
                <c:pt idx="1">
                  <c:v>0.26298887967626344</c:v>
                </c:pt>
                <c:pt idx="2">
                  <c:v>0.15935268520705007</c:v>
                </c:pt>
                <c:pt idx="3">
                  <c:v>4.6810069527127078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9D-CC43-9986-1AD6C0E8FF9B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GICIS321!$F$41:$F$45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GICIS321!$G$41:$G$45</c:f>
              <c:numCache>
                <c:formatCode>0.00%</c:formatCode>
                <c:ptCount val="5"/>
                <c:pt idx="0">
                  <c:v>0.19459855017985461</c:v>
                </c:pt>
                <c:pt idx="1">
                  <c:v>0.26298887967626344</c:v>
                </c:pt>
                <c:pt idx="2">
                  <c:v>0.15935268520705007</c:v>
                </c:pt>
                <c:pt idx="3">
                  <c:v>17.473002200428247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9D-CC43-9986-1AD6C0E8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GICIS321!$F$13:$F$17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GICIS321!$G$13:$G$17</c:f>
              <c:numCache>
                <c:formatCode>0.00%</c:formatCode>
                <c:ptCount val="5"/>
                <c:pt idx="0">
                  <c:v>0.14218418564563159</c:v>
                </c:pt>
                <c:pt idx="1">
                  <c:v>0.182452864741983</c:v>
                </c:pt>
                <c:pt idx="2">
                  <c:v>0.15935268520705007</c:v>
                </c:pt>
                <c:pt idx="3">
                  <c:v>4.6810069527127078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9D-CC43-9986-1AD6C0E8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  <c:max val="5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GICIS322!$B$8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GICIS322!$B$9:$B$32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423</c:v>
                </c:pt>
                <c:pt idx="8">
                  <c:v>36431</c:v>
                </c:pt>
                <c:pt idx="9">
                  <c:v>52114</c:v>
                </c:pt>
                <c:pt idx="10">
                  <c:v>91738</c:v>
                </c:pt>
                <c:pt idx="11">
                  <c:v>75400</c:v>
                </c:pt>
                <c:pt idx="12">
                  <c:v>59278</c:v>
                </c:pt>
                <c:pt idx="13">
                  <c:v>60262</c:v>
                </c:pt>
                <c:pt idx="14">
                  <c:v>56244</c:v>
                </c:pt>
                <c:pt idx="15">
                  <c:v>37008</c:v>
                </c:pt>
                <c:pt idx="16">
                  <c:v>19158</c:v>
                </c:pt>
                <c:pt idx="17">
                  <c:v>783</c:v>
                </c:pt>
                <c:pt idx="18">
                  <c:v>19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D8-4DAF-BA74-FE724F3F4972}"/>
            </c:ext>
          </c:extLst>
        </c:ser>
        <c:ser>
          <c:idx val="1"/>
          <c:order val="1"/>
          <c:tx>
            <c:strRef>
              <c:f>GICIS322!$C$8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GICIS322!$A$9:$A$32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GICIS322!$C$9:$C$32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3423</c:v>
                </c:pt>
                <c:pt idx="8">
                  <c:v>3853</c:v>
                </c:pt>
                <c:pt idx="9">
                  <c:v>47972</c:v>
                </c:pt>
                <c:pt idx="10">
                  <c:v>50898</c:v>
                </c:pt>
                <c:pt idx="11">
                  <c:v>94996</c:v>
                </c:pt>
                <c:pt idx="12">
                  <c:v>59716</c:v>
                </c:pt>
                <c:pt idx="13">
                  <c:v>49185</c:v>
                </c:pt>
                <c:pt idx="14">
                  <c:v>57130</c:v>
                </c:pt>
                <c:pt idx="15">
                  <c:v>49424</c:v>
                </c:pt>
                <c:pt idx="16">
                  <c:v>21582</c:v>
                </c:pt>
                <c:pt idx="17">
                  <c:v>8385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D8-4DAF-BA74-FE724F3F4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637312"/>
        <c:axId val="894627800"/>
      </c:scatterChart>
      <c:valAx>
        <c:axId val="89463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27800"/>
        <c:crosses val="autoZero"/>
        <c:crossBetween val="midCat"/>
      </c:valAx>
      <c:valAx>
        <c:axId val="89462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9463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GICIS322!$G$13:$G$17</c:f>
              <c:numCache>
                <c:formatCode>0.00%</c:formatCode>
                <c:ptCount val="5"/>
                <c:pt idx="0">
                  <c:v>2.6621456666666665</c:v>
                </c:pt>
                <c:pt idx="1">
                  <c:v>0.26151833333333335</c:v>
                </c:pt>
                <c:pt idx="2">
                  <c:v>6.8985333333333329E-2</c:v>
                </c:pt>
                <c:pt idx="3">
                  <c:v>3.3902779999999999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AF-4FE1-B5E4-65A6FC44B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17552"/>
        <c:axId val="617122472"/>
      </c:scatterChart>
      <c:valAx>
        <c:axId val="61711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2472"/>
        <c:crosses val="autoZero"/>
        <c:crossBetween val="midCat"/>
      </c:valAx>
      <c:valAx>
        <c:axId val="61712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GICIS322!$O$13:$O$17</c:f>
              <c:numCache>
                <c:formatCode>0.00%</c:formatCode>
                <c:ptCount val="5"/>
                <c:pt idx="0">
                  <c:v>0.65207033333333342</c:v>
                </c:pt>
                <c:pt idx="1">
                  <c:v>0.54778166666666672</c:v>
                </c:pt>
                <c:pt idx="2">
                  <c:v>6.8985333333333329E-2</c:v>
                </c:pt>
                <c:pt idx="3">
                  <c:v>3.3902779999999999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76-B748-BDBB-08A64D9D3D70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GICIS322!$F$41:$F$45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GICIS322!$G$41:$G$45</c:f>
              <c:numCache>
                <c:formatCode>0.00%</c:formatCode>
                <c:ptCount val="5"/>
                <c:pt idx="0">
                  <c:v>0.65207033333333342</c:v>
                </c:pt>
                <c:pt idx="1">
                  <c:v>0.54778166666666672</c:v>
                </c:pt>
                <c:pt idx="2">
                  <c:v>6.8985333333333329E-2</c:v>
                </c:pt>
                <c:pt idx="3">
                  <c:v>3.3085563333333337</c:v>
                </c:pt>
                <c:pt idx="4">
                  <c:v>13.471178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76-B748-BDBB-08A64D9D3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GICIS322!$F$13:$F$17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GICIS322!$G$13:$G$17</c:f>
              <c:numCache>
                <c:formatCode>0.00%</c:formatCode>
                <c:ptCount val="5"/>
                <c:pt idx="0">
                  <c:v>2.6621456666666665</c:v>
                </c:pt>
                <c:pt idx="1">
                  <c:v>0.26151833333333335</c:v>
                </c:pt>
                <c:pt idx="2">
                  <c:v>6.8985333333333329E-2</c:v>
                </c:pt>
                <c:pt idx="3">
                  <c:v>3.3902779999999999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76-B748-BDBB-08A64D9D3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GICIS323!$B$8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GICIS323!$B$9:$B$32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11636</c:v>
                </c:pt>
                <c:pt idx="8">
                  <c:v>59054</c:v>
                </c:pt>
                <c:pt idx="9">
                  <c:v>106951</c:v>
                </c:pt>
                <c:pt idx="10">
                  <c:v>101799</c:v>
                </c:pt>
                <c:pt idx="11">
                  <c:v>103315</c:v>
                </c:pt>
                <c:pt idx="12">
                  <c:v>99444</c:v>
                </c:pt>
                <c:pt idx="13">
                  <c:v>96705</c:v>
                </c:pt>
                <c:pt idx="14">
                  <c:v>84615</c:v>
                </c:pt>
                <c:pt idx="15">
                  <c:v>78593</c:v>
                </c:pt>
                <c:pt idx="16">
                  <c:v>57693</c:v>
                </c:pt>
                <c:pt idx="17">
                  <c:v>18656</c:v>
                </c:pt>
                <c:pt idx="18">
                  <c:v>2610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8-4556-AC4C-E1A2E786EB9B}"/>
            </c:ext>
          </c:extLst>
        </c:ser>
        <c:ser>
          <c:idx val="1"/>
          <c:order val="1"/>
          <c:tx>
            <c:strRef>
              <c:f>GICIS323!$C$8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GICIS323!$A$9:$A$32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GICIS323!$C$9:$C$32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10694</c:v>
                </c:pt>
                <c:pt idx="8">
                  <c:v>25898</c:v>
                </c:pt>
                <c:pt idx="9">
                  <c:v>81626</c:v>
                </c:pt>
                <c:pt idx="10">
                  <c:v>119138</c:v>
                </c:pt>
                <c:pt idx="11">
                  <c:v>90551</c:v>
                </c:pt>
                <c:pt idx="12">
                  <c:v>101279</c:v>
                </c:pt>
                <c:pt idx="13">
                  <c:v>94045</c:v>
                </c:pt>
                <c:pt idx="14">
                  <c:v>91456</c:v>
                </c:pt>
                <c:pt idx="15">
                  <c:v>75771</c:v>
                </c:pt>
                <c:pt idx="16">
                  <c:v>66794</c:v>
                </c:pt>
                <c:pt idx="17">
                  <c:v>34902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D8-4556-AC4C-E1A2E786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557552"/>
        <c:axId val="756557880"/>
      </c:scatterChart>
      <c:valAx>
        <c:axId val="7565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557880"/>
        <c:crosses val="autoZero"/>
        <c:crossBetween val="midCat"/>
      </c:valAx>
      <c:valAx>
        <c:axId val="75655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75655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GICIS323!$G$13:$G$17</c:f>
              <c:numCache>
                <c:formatCode>0.00%</c:formatCode>
                <c:ptCount val="5"/>
                <c:pt idx="0">
                  <c:v>0.21413596167547966</c:v>
                </c:pt>
                <c:pt idx="1">
                  <c:v>0.17688700594865139</c:v>
                </c:pt>
                <c:pt idx="2">
                  <c:v>4.2269159814343947E-2</c:v>
                </c:pt>
                <c:pt idx="3">
                  <c:v>0.35482477293364706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D8-4BBF-9184-49B75BF6D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1816"/>
        <c:axId val="617114272"/>
      </c:scatterChart>
      <c:valAx>
        <c:axId val="617121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4272"/>
        <c:crosses val="autoZero"/>
        <c:crossBetween val="midCat"/>
      </c:valAx>
      <c:valAx>
        <c:axId val="61711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GICIS323!$O$13:$O$17</c:f>
              <c:numCache>
                <c:formatCode>0.00%</c:formatCode>
                <c:ptCount val="5"/>
                <c:pt idx="0">
                  <c:v>5.2062914047923736E-2</c:v>
                </c:pt>
                <c:pt idx="1">
                  <c:v>0.13809932792475887</c:v>
                </c:pt>
                <c:pt idx="2">
                  <c:v>4.2269159814343947E-2</c:v>
                </c:pt>
                <c:pt idx="3">
                  <c:v>0.35482477293364706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6-4D4E-8AB4-1C6C90EA6465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GICIS323!$F$41:$F$45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GICIS323!$G$41:$G$45</c:f>
              <c:numCache>
                <c:formatCode>0.00%</c:formatCode>
                <c:ptCount val="5"/>
                <c:pt idx="0">
                  <c:v>5.2062914047923736E-2</c:v>
                </c:pt>
                <c:pt idx="1">
                  <c:v>0.13809932792475887</c:v>
                </c:pt>
                <c:pt idx="2">
                  <c:v>4.2269159814343947E-2</c:v>
                </c:pt>
                <c:pt idx="3">
                  <c:v>0.46317270179076225</c:v>
                </c:pt>
                <c:pt idx="4">
                  <c:v>0.43216566321839078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6-4D4E-8AB4-1C6C90EA6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GICIS323!$F$13:$F$17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GICIS323!$G$13:$G$17</c:f>
              <c:numCache>
                <c:formatCode>0.00%</c:formatCode>
                <c:ptCount val="5"/>
                <c:pt idx="0">
                  <c:v>0.21413596167547966</c:v>
                </c:pt>
                <c:pt idx="1">
                  <c:v>0.17688700594865139</c:v>
                </c:pt>
                <c:pt idx="2">
                  <c:v>4.2269159814343947E-2</c:v>
                </c:pt>
                <c:pt idx="3">
                  <c:v>0.35482477293364706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6-4D4E-8AB4-1C6C90EA6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GICIS324!$B$8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GICIS324!$B$9:$B$32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3573</c:v>
                </c:pt>
                <c:pt idx="8">
                  <c:v>15060</c:v>
                </c:pt>
                <c:pt idx="9">
                  <c:v>24463</c:v>
                </c:pt>
                <c:pt idx="10">
                  <c:v>27349</c:v>
                </c:pt>
                <c:pt idx="11">
                  <c:v>27057</c:v>
                </c:pt>
                <c:pt idx="12">
                  <c:v>27367</c:v>
                </c:pt>
                <c:pt idx="13">
                  <c:v>24973</c:v>
                </c:pt>
                <c:pt idx="14">
                  <c:v>26265</c:v>
                </c:pt>
                <c:pt idx="15">
                  <c:v>21337</c:v>
                </c:pt>
                <c:pt idx="16">
                  <c:v>12647</c:v>
                </c:pt>
                <c:pt idx="17">
                  <c:v>2936</c:v>
                </c:pt>
                <c:pt idx="18">
                  <c:v>522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D-4285-85DB-CC854E2B0875}"/>
            </c:ext>
          </c:extLst>
        </c:ser>
        <c:ser>
          <c:idx val="1"/>
          <c:order val="1"/>
          <c:tx>
            <c:strRef>
              <c:f>GICIS324!$C$8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GICIS324!$A$9:$A$32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GICIS324!$C$9:$C$32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2527</c:v>
                </c:pt>
                <c:pt idx="8">
                  <c:v>7948</c:v>
                </c:pt>
                <c:pt idx="9">
                  <c:v>20952</c:v>
                </c:pt>
                <c:pt idx="10">
                  <c:v>27428</c:v>
                </c:pt>
                <c:pt idx="11">
                  <c:v>26950</c:v>
                </c:pt>
                <c:pt idx="12">
                  <c:v>25737</c:v>
                </c:pt>
                <c:pt idx="13">
                  <c:v>26384</c:v>
                </c:pt>
                <c:pt idx="14">
                  <c:v>22878</c:v>
                </c:pt>
                <c:pt idx="15">
                  <c:v>24867</c:v>
                </c:pt>
                <c:pt idx="16">
                  <c:v>16729</c:v>
                </c:pt>
                <c:pt idx="17">
                  <c:v>6539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DD-4285-85DB-CC854E2B0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1552"/>
        <c:axId val="852012216"/>
      </c:scatterChart>
      <c:valAx>
        <c:axId val="85199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12216"/>
        <c:crosses val="autoZero"/>
        <c:crossBetween val="midCat"/>
      </c:valAx>
      <c:valAx>
        <c:axId val="85201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GICIS324!$F$13:$F$17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GICIS324!$G$13:$G$17</c:f>
              <c:numCache>
                <c:formatCode>0.00%</c:formatCode>
                <c:ptCount val="5"/>
                <c:pt idx="0">
                  <c:v>0.25499833333333333</c:v>
                </c:pt>
                <c:pt idx="1">
                  <c:v>5.0122333333333345E-2</c:v>
                </c:pt>
                <c:pt idx="2">
                  <c:v>8.1672333333333333E-2</c:v>
                </c:pt>
                <c:pt idx="3">
                  <c:v>0.57179466666666656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1-44A1-B529-9E6136226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700776"/>
        <c:axId val="850696840"/>
      </c:scatterChart>
      <c:valAx>
        <c:axId val="85070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696840"/>
        <c:crosses val="autoZero"/>
        <c:crossBetween val="midCat"/>
      </c:valAx>
      <c:valAx>
        <c:axId val="85069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070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GICIS324!$F$41:$F$45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GICIS324!$O$13:$O$17</c:f>
              <c:numCache>
                <c:formatCode>0.00%</c:formatCode>
                <c:ptCount val="5"/>
                <c:pt idx="0">
                  <c:v>0.15288399999999999</c:v>
                </c:pt>
                <c:pt idx="1">
                  <c:v>7.0158333333333336E-2</c:v>
                </c:pt>
                <c:pt idx="2">
                  <c:v>8.1672333333333333E-2</c:v>
                </c:pt>
                <c:pt idx="3">
                  <c:v>0.57179466666666656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A-384A-8C81-52D9373A4BB6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GICIS324!$F$41:$F$45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GICIS324!$G$41:$G$45</c:f>
              <c:numCache>
                <c:formatCode>0.00%</c:formatCode>
                <c:ptCount val="5"/>
                <c:pt idx="0">
                  <c:v>0.15288399999999999</c:v>
                </c:pt>
                <c:pt idx="1">
                  <c:v>7.0158333333333336E-2</c:v>
                </c:pt>
                <c:pt idx="2">
                  <c:v>8.1672333333333333E-2</c:v>
                </c:pt>
                <c:pt idx="3">
                  <c:v>1.2556133333333335</c:v>
                </c:pt>
                <c:pt idx="4">
                  <c:v>1.4015690000000001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3A-384A-8C81-52D9373A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GICIS324!$F$13:$F$17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GICIS324!$G$13:$G$17</c:f>
              <c:numCache>
                <c:formatCode>0.00%</c:formatCode>
                <c:ptCount val="5"/>
                <c:pt idx="0">
                  <c:v>0.25499833333333333</c:v>
                </c:pt>
                <c:pt idx="1">
                  <c:v>5.0122333333333345E-2</c:v>
                </c:pt>
                <c:pt idx="2">
                  <c:v>8.1672333333333333E-2</c:v>
                </c:pt>
                <c:pt idx="3">
                  <c:v>0.57179466666666656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3A-384A-8C81-52D9373A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GICIS325!$B$8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GICIS325!$B$9:$B$32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28284</c:v>
                </c:pt>
                <c:pt idx="8">
                  <c:v>121011</c:v>
                </c:pt>
                <c:pt idx="9">
                  <c:v>135363</c:v>
                </c:pt>
                <c:pt idx="10">
                  <c:v>144847</c:v>
                </c:pt>
                <c:pt idx="11">
                  <c:v>137067</c:v>
                </c:pt>
                <c:pt idx="12">
                  <c:v>100155</c:v>
                </c:pt>
                <c:pt idx="13">
                  <c:v>160939</c:v>
                </c:pt>
                <c:pt idx="14">
                  <c:v>176130</c:v>
                </c:pt>
                <c:pt idx="15">
                  <c:v>79475</c:v>
                </c:pt>
                <c:pt idx="16">
                  <c:v>76709</c:v>
                </c:pt>
                <c:pt idx="17">
                  <c:v>29432</c:v>
                </c:pt>
                <c:pt idx="18">
                  <c:v>5032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F-413D-8E90-C0A5C1CB70E1}"/>
            </c:ext>
          </c:extLst>
        </c:ser>
        <c:ser>
          <c:idx val="1"/>
          <c:order val="1"/>
          <c:tx>
            <c:strRef>
              <c:f>GICIS325!$C$8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GICIS325!$A$9:$A$32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GICIS325!$C$9:$C$32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43241</c:v>
                </c:pt>
                <c:pt idx="9">
                  <c:v>171692</c:v>
                </c:pt>
                <c:pt idx="10">
                  <c:v>146218</c:v>
                </c:pt>
                <c:pt idx="11">
                  <c:v>145775</c:v>
                </c:pt>
                <c:pt idx="12">
                  <c:v>125345</c:v>
                </c:pt>
                <c:pt idx="13">
                  <c:v>80174</c:v>
                </c:pt>
                <c:pt idx="14">
                  <c:v>184737</c:v>
                </c:pt>
                <c:pt idx="15">
                  <c:v>172911</c:v>
                </c:pt>
                <c:pt idx="16">
                  <c:v>23466</c:v>
                </c:pt>
                <c:pt idx="17">
                  <c:v>61994</c:v>
                </c:pt>
                <c:pt idx="18">
                  <c:v>7490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F-413D-8E90-C0A5C1CB7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19848"/>
        <c:axId val="617114600"/>
      </c:scatterChart>
      <c:valAx>
        <c:axId val="61711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4600"/>
        <c:crosses val="autoZero"/>
        <c:crossBetween val="midCat"/>
      </c:valAx>
      <c:valAx>
        <c:axId val="61711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1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GICIS325!$G$13:$G$17</c:f>
              <c:numCache>
                <c:formatCode>0.00%</c:formatCode>
                <c:ptCount val="5"/>
                <c:pt idx="0">
                  <c:v>0.54755633333333342</c:v>
                </c:pt>
                <c:pt idx="1">
                  <c:v>0.11379266666666667</c:v>
                </c:pt>
                <c:pt idx="2">
                  <c:v>0.2674043333333333</c:v>
                </c:pt>
                <c:pt idx="3">
                  <c:v>0.99203433333333335</c:v>
                </c:pt>
                <c:pt idx="4">
                  <c:v>0.16282466666666667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FC-42EB-B06A-47AAE0EB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29688"/>
        <c:axId val="617125752"/>
      </c:scatterChart>
      <c:valAx>
        <c:axId val="617129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5752"/>
        <c:crosses val="autoZero"/>
        <c:crossBetween val="midCat"/>
      </c:valAx>
      <c:valAx>
        <c:axId val="61712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29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GICIS325!$O$13:$O$17</c:f>
              <c:numCache>
                <c:formatCode>0.00%</c:formatCode>
                <c:ptCount val="5"/>
                <c:pt idx="0">
                  <c:v>0.25072133333333335</c:v>
                </c:pt>
                <c:pt idx="1">
                  <c:v>5.5404666666666665E-2</c:v>
                </c:pt>
                <c:pt idx="2">
                  <c:v>0.2674043333333333</c:v>
                </c:pt>
                <c:pt idx="3">
                  <c:v>0.99203433333333335</c:v>
                </c:pt>
                <c:pt idx="4">
                  <c:v>0.16282466666666667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F-F94E-A5F3-BF923A53B89D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GICIS325!$F$41:$F$45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GICIS325!$G$41:$G$45</c:f>
              <c:numCache>
                <c:formatCode>0.00%</c:formatCode>
                <c:ptCount val="5"/>
                <c:pt idx="0">
                  <c:v>0.25072133333333335</c:v>
                </c:pt>
                <c:pt idx="1">
                  <c:v>5.5404666666666665E-2</c:v>
                </c:pt>
                <c:pt idx="2">
                  <c:v>0.2674043333333333</c:v>
                </c:pt>
                <c:pt idx="3">
                  <c:v>0.90392799999999995</c:v>
                </c:pt>
                <c:pt idx="4">
                  <c:v>0.54383366666666666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FF-F94E-A5F3-BF923A53B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GICIS325!$F$13:$F$17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GICIS325!$G$13:$G$17</c:f>
              <c:numCache>
                <c:formatCode>0.00%</c:formatCode>
                <c:ptCount val="5"/>
                <c:pt idx="0">
                  <c:v>0.54755633333333342</c:v>
                </c:pt>
                <c:pt idx="1">
                  <c:v>0.11379266666666667</c:v>
                </c:pt>
                <c:pt idx="2">
                  <c:v>0.2674043333333333</c:v>
                </c:pt>
                <c:pt idx="3">
                  <c:v>0.99203433333333335</c:v>
                </c:pt>
                <c:pt idx="4">
                  <c:v>0.16282466666666667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FF-F94E-A5F3-BF923A53B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Predicción vs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GICIS326!$B$8</c:f>
              <c:strCache>
                <c:ptCount val="1"/>
                <c:pt idx="0">
                  <c:v>Dato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GICIS326!$A$9:$A$32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GICIS326!$B$9:$B$32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773</c:v>
                </c:pt>
                <c:pt idx="8">
                  <c:v>4191</c:v>
                </c:pt>
                <c:pt idx="9">
                  <c:v>19440</c:v>
                </c:pt>
                <c:pt idx="10">
                  <c:v>27491</c:v>
                </c:pt>
                <c:pt idx="11">
                  <c:v>28914</c:v>
                </c:pt>
                <c:pt idx="12">
                  <c:v>26239</c:v>
                </c:pt>
                <c:pt idx="13">
                  <c:v>26079</c:v>
                </c:pt>
                <c:pt idx="14">
                  <c:v>26950</c:v>
                </c:pt>
                <c:pt idx="15">
                  <c:v>25201</c:v>
                </c:pt>
                <c:pt idx="16">
                  <c:v>19048</c:v>
                </c:pt>
                <c:pt idx="17">
                  <c:v>6788</c:v>
                </c:pt>
                <c:pt idx="18">
                  <c:v>419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1-4FC9-98FC-D8026AC8049B}"/>
            </c:ext>
          </c:extLst>
        </c:ser>
        <c:ser>
          <c:idx val="1"/>
          <c:order val="1"/>
          <c:tx>
            <c:strRef>
              <c:f>GICIS326!$C$8</c:f>
              <c:strCache>
                <c:ptCount val="1"/>
                <c:pt idx="0">
                  <c:v>Predicción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GICIS326!$A$9:$A$32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GICIS326!$C$9:$C$32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2023</c:v>
                </c:pt>
                <c:pt idx="8">
                  <c:v>3154</c:v>
                </c:pt>
                <c:pt idx="9">
                  <c:v>7677</c:v>
                </c:pt>
                <c:pt idx="10">
                  <c:v>28202</c:v>
                </c:pt>
                <c:pt idx="11">
                  <c:v>28776</c:v>
                </c:pt>
                <c:pt idx="12">
                  <c:v>27636</c:v>
                </c:pt>
                <c:pt idx="13">
                  <c:v>24244</c:v>
                </c:pt>
                <c:pt idx="14">
                  <c:v>26359</c:v>
                </c:pt>
                <c:pt idx="15">
                  <c:v>25744</c:v>
                </c:pt>
                <c:pt idx="16">
                  <c:v>23563</c:v>
                </c:pt>
                <c:pt idx="17">
                  <c:v>13941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81-4FC9-98FC-D8026AC80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31656"/>
        <c:axId val="617130672"/>
      </c:scatterChart>
      <c:valAx>
        <c:axId val="61713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0672"/>
        <c:crosses val="autoZero"/>
        <c:crossBetween val="midCat"/>
      </c:valAx>
      <c:valAx>
        <c:axId val="61713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GICIS326!$F$13:$F$17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xVal>
          <c:yVal>
            <c:numRef>
              <c:f>GICIS326!$G$13:$G$17</c:f>
              <c:numCache>
                <c:formatCode>0.00%</c:formatCode>
                <c:ptCount val="5"/>
                <c:pt idx="0">
                  <c:v>0.62150366666666668</c:v>
                </c:pt>
                <c:pt idx="1">
                  <c:v>0.21190966666666666</c:v>
                </c:pt>
                <c:pt idx="2">
                  <c:v>4.8510999999999999E-2</c:v>
                </c:pt>
                <c:pt idx="3">
                  <c:v>0.43745033333333333</c:v>
                </c:pt>
                <c:pt idx="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A3-484B-A4CB-81B1E1FC9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131656"/>
        <c:axId val="617132312"/>
      </c:scatterChart>
      <c:valAx>
        <c:axId val="61713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2312"/>
        <c:crosses val="autoZero"/>
        <c:crossBetween val="midCat"/>
      </c:valAx>
      <c:valAx>
        <c:axId val="61713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61713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por Horas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Promedio 2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GICIS326!$F$41:$F$45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GICIS326!$O$13:$O$17</c:f>
              <c:numCache>
                <c:formatCode>0.00%</c:formatCode>
                <c:ptCount val="5"/>
                <c:pt idx="0">
                  <c:v>2.0337826666666667</c:v>
                </c:pt>
                <c:pt idx="1">
                  <c:v>5.2803999999999997E-2</c:v>
                </c:pt>
                <c:pt idx="2">
                  <c:v>4.8510999999999999E-2</c:v>
                </c:pt>
                <c:pt idx="3">
                  <c:v>0.43745033333333333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A-964D-B97A-4E2BF2CE2DC8}"/>
            </c:ext>
          </c:extLst>
        </c:ser>
        <c:ser>
          <c:idx val="1"/>
          <c:order val="1"/>
          <c:tx>
            <c:v>Promedio</c:v>
          </c:tx>
          <c:spPr>
            <a:solidFill>
              <a:schemeClr val="accent2">
                <a:alpha val="30000"/>
              </a:schemeClr>
            </a:solidFill>
            <a:ln>
              <a:noFill/>
            </a:ln>
            <a:effectLst/>
          </c:spPr>
          <c:cat>
            <c:strRef>
              <c:f>GICIS326!$F$41:$F$45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GICIS326!$G$41:$G$45</c:f>
              <c:numCache>
                <c:formatCode>0.00%</c:formatCode>
                <c:ptCount val="5"/>
                <c:pt idx="0">
                  <c:v>2.0337826666666667</c:v>
                </c:pt>
                <c:pt idx="1">
                  <c:v>5.2803999999999997E-2</c:v>
                </c:pt>
                <c:pt idx="2">
                  <c:v>4.8510999999999999E-2</c:v>
                </c:pt>
                <c:pt idx="3">
                  <c:v>0.36006833333333338</c:v>
                </c:pt>
                <c:pt idx="4">
                  <c:v>2.0531136666666669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FA-964D-B97A-4E2BF2CE2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1994504"/>
        <c:axId val="852000080"/>
      </c:areaChart>
      <c:barChart>
        <c:barDir val="col"/>
        <c:grouping val="clustered"/>
        <c:varyColors val="0"/>
        <c:ser>
          <c:idx val="0"/>
          <c:order val="2"/>
          <c:tx>
            <c:v>ARIMA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GICIS326!$F$13:$F$17</c:f>
              <c:strCache>
                <c:ptCount val="5"/>
                <c:pt idx="0">
                  <c:v>6:00 a 8:00</c:v>
                </c:pt>
                <c:pt idx="1">
                  <c:v>9:00 a 11:00</c:v>
                </c:pt>
                <c:pt idx="2">
                  <c:v>12:00 a 14:00</c:v>
                </c:pt>
                <c:pt idx="3">
                  <c:v>15:00 a 17:00</c:v>
                </c:pt>
                <c:pt idx="4">
                  <c:v>18:00 a 20:00</c:v>
                </c:pt>
              </c:strCache>
            </c:strRef>
          </c:cat>
          <c:val>
            <c:numRef>
              <c:f>GICIS326!$G$13:$G$17</c:f>
              <c:numCache>
                <c:formatCode>0.00%</c:formatCode>
                <c:ptCount val="5"/>
                <c:pt idx="0">
                  <c:v>0.62150366666666668</c:v>
                </c:pt>
                <c:pt idx="1">
                  <c:v>0.21190966666666666</c:v>
                </c:pt>
                <c:pt idx="2">
                  <c:v>4.8510999999999999E-2</c:v>
                </c:pt>
                <c:pt idx="3">
                  <c:v>0.43745033333333333</c:v>
                </c:pt>
                <c:pt idx="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FA-964D-B97A-4E2BF2CE2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994504"/>
        <c:axId val="852000080"/>
      </c:barChart>
      <c:catAx>
        <c:axId val="851994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2000080"/>
        <c:crosses val="autoZero"/>
        <c:auto val="1"/>
        <c:lblAlgn val="ctr"/>
        <c:lblOffset val="100"/>
        <c:noMultiLvlLbl val="1"/>
      </c:catAx>
      <c:valAx>
        <c:axId val="8520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85199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463734</xdr:colOff>
      <xdr:row>112</xdr:row>
      <xdr:rowOff>78377</xdr:rowOff>
    </xdr:from>
    <xdr:to>
      <xdr:col>18</xdr:col>
      <xdr:colOff>818608</xdr:colOff>
      <xdr:row>126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127000</xdr:rowOff>
        </xdr:from>
        <xdr:to>
          <xdr:col>17</xdr:col>
          <xdr:colOff>101600</xdr:colOff>
          <xdr:row>57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127000</xdr:rowOff>
        </xdr:from>
        <xdr:to>
          <xdr:col>17</xdr:col>
          <xdr:colOff>101600</xdr:colOff>
          <xdr:row>59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916578</xdr:colOff>
      <xdr:row>33</xdr:row>
      <xdr:rowOff>145869</xdr:rowOff>
    </xdr:from>
    <xdr:to>
      <xdr:col>14</xdr:col>
      <xdr:colOff>14152</xdr:colOff>
      <xdr:row>47</xdr:row>
      <xdr:rowOff>115389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4536</xdr:colOff>
      <xdr:row>47</xdr:row>
      <xdr:rowOff>127002</xdr:rowOff>
    </xdr:from>
    <xdr:to>
      <xdr:col>14</xdr:col>
      <xdr:colOff>39008</xdr:colOff>
      <xdr:row>60</xdr:row>
      <xdr:rowOff>228601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235857</xdr:colOff>
      <xdr:row>27</xdr:row>
      <xdr:rowOff>163286</xdr:rowOff>
    </xdr:from>
    <xdr:to>
      <xdr:col>25</xdr:col>
      <xdr:colOff>164182</xdr:colOff>
      <xdr:row>54</xdr:row>
      <xdr:rowOff>74364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5725680-3837-1045-8158-06FA5BC77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127000</xdr:rowOff>
        </xdr:from>
        <xdr:to>
          <xdr:col>17</xdr:col>
          <xdr:colOff>101600</xdr:colOff>
          <xdr:row>57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58</xdr:row>
          <xdr:rowOff>127000</xdr:rowOff>
        </xdr:from>
        <xdr:to>
          <xdr:col>17</xdr:col>
          <xdr:colOff>114300</xdr:colOff>
          <xdr:row>59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9798</xdr:colOff>
      <xdr:row>33</xdr:row>
      <xdr:rowOff>192133</xdr:rowOff>
    </xdr:from>
    <xdr:to>
      <xdr:col>14</xdr:col>
      <xdr:colOff>32658</xdr:colOff>
      <xdr:row>47</xdr:row>
      <xdr:rowOff>161653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907868</xdr:colOff>
      <xdr:row>47</xdr:row>
      <xdr:rowOff>137705</xdr:rowOff>
    </xdr:from>
    <xdr:to>
      <xdr:col>14</xdr:col>
      <xdr:colOff>5443</xdr:colOff>
      <xdr:row>61</xdr:row>
      <xdr:rowOff>107225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25</xdr:col>
      <xdr:colOff>318261</xdr:colOff>
      <xdr:row>54</xdr:row>
      <xdr:rowOff>86819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BC5BE79-9092-B34C-8F1F-B6FFDA7D9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165100</xdr:rowOff>
        </xdr:from>
        <xdr:to>
          <xdr:col>17</xdr:col>
          <xdr:colOff>101600</xdr:colOff>
          <xdr:row>57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165100</xdr:rowOff>
        </xdr:from>
        <xdr:to>
          <xdr:col>17</xdr:col>
          <xdr:colOff>101600</xdr:colOff>
          <xdr:row>59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31358</xdr:colOff>
      <xdr:row>34</xdr:row>
      <xdr:rowOff>47037</xdr:rowOff>
    </xdr:from>
    <xdr:to>
      <xdr:col>15</xdr:col>
      <xdr:colOff>-1</xdr:colOff>
      <xdr:row>59</xdr:row>
      <xdr:rowOff>188148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139846</xdr:colOff>
      <xdr:row>28</xdr:row>
      <xdr:rowOff>3792</xdr:rowOff>
    </xdr:from>
    <xdr:to>
      <xdr:col>25</xdr:col>
      <xdr:colOff>77130</xdr:colOff>
      <xdr:row>54</xdr:row>
      <xdr:rowOff>3793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127000</xdr:rowOff>
        </xdr:from>
        <xdr:to>
          <xdr:col>17</xdr:col>
          <xdr:colOff>88900</xdr:colOff>
          <xdr:row>57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58</xdr:row>
          <xdr:rowOff>127000</xdr:rowOff>
        </xdr:from>
        <xdr:to>
          <xdr:col>17</xdr:col>
          <xdr:colOff>88900</xdr:colOff>
          <xdr:row>59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737458</xdr:colOff>
      <xdr:row>33</xdr:row>
      <xdr:rowOff>127214</xdr:rowOff>
    </xdr:from>
    <xdr:to>
      <xdr:col>14</xdr:col>
      <xdr:colOff>50174</xdr:colOff>
      <xdr:row>47</xdr:row>
      <xdr:rowOff>96734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707769</xdr:colOff>
      <xdr:row>47</xdr:row>
      <xdr:rowOff>87630</xdr:rowOff>
    </xdr:from>
    <xdr:to>
      <xdr:col>14</xdr:col>
      <xdr:colOff>20485</xdr:colOff>
      <xdr:row>61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16494</xdr:colOff>
      <xdr:row>28</xdr:row>
      <xdr:rowOff>16494</xdr:rowOff>
    </xdr:from>
    <xdr:to>
      <xdr:col>25</xdr:col>
      <xdr:colOff>225208</xdr:colOff>
      <xdr:row>54</xdr:row>
      <xdr:rowOff>170026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148649-9352-1741-8269-DD0CF1273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114300</xdr:rowOff>
        </xdr:from>
        <xdr:to>
          <xdr:col>17</xdr:col>
          <xdr:colOff>127000</xdr:colOff>
          <xdr:row>57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58</xdr:row>
          <xdr:rowOff>101600</xdr:rowOff>
        </xdr:from>
        <xdr:to>
          <xdr:col>17</xdr:col>
          <xdr:colOff>127000</xdr:colOff>
          <xdr:row>59</xdr:row>
          <xdr:rowOff>127000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877717</xdr:colOff>
      <xdr:row>33</xdr:row>
      <xdr:rowOff>120502</xdr:rowOff>
    </xdr:from>
    <xdr:to>
      <xdr:col>14</xdr:col>
      <xdr:colOff>198297</xdr:colOff>
      <xdr:row>47</xdr:row>
      <xdr:rowOff>90022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877713</xdr:colOff>
      <xdr:row>47</xdr:row>
      <xdr:rowOff>102781</xdr:rowOff>
    </xdr:from>
    <xdr:to>
      <xdr:col>14</xdr:col>
      <xdr:colOff>198293</xdr:colOff>
      <xdr:row>61</xdr:row>
      <xdr:rowOff>72301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177210</xdr:colOff>
      <xdr:row>28</xdr:row>
      <xdr:rowOff>29535</xdr:rowOff>
    </xdr:from>
    <xdr:to>
      <xdr:col>24</xdr:col>
      <xdr:colOff>789056</xdr:colOff>
      <xdr:row>53</xdr:row>
      <xdr:rowOff>160437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29ED734-14B6-BE4B-BE41-424054AC7D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139700</xdr:rowOff>
        </xdr:from>
        <xdr:to>
          <xdr:col>17</xdr:col>
          <xdr:colOff>101600</xdr:colOff>
          <xdr:row>57</xdr:row>
          <xdr:rowOff>165100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127000</xdr:rowOff>
        </xdr:from>
        <xdr:to>
          <xdr:col>17</xdr:col>
          <xdr:colOff>101600</xdr:colOff>
          <xdr:row>59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890360</xdr:colOff>
      <xdr:row>33</xdr:row>
      <xdr:rowOff>155834</xdr:rowOff>
    </xdr:from>
    <xdr:to>
      <xdr:col>14</xdr:col>
      <xdr:colOff>205633</xdr:colOff>
      <xdr:row>47</xdr:row>
      <xdr:rowOff>125354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879628</xdr:colOff>
      <xdr:row>47</xdr:row>
      <xdr:rowOff>123638</xdr:rowOff>
    </xdr:from>
    <xdr:to>
      <xdr:col>14</xdr:col>
      <xdr:colOff>194901</xdr:colOff>
      <xdr:row>61</xdr:row>
      <xdr:rowOff>93158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28</xdr:row>
      <xdr:rowOff>71549</xdr:rowOff>
    </xdr:from>
    <xdr:to>
      <xdr:col>25</xdr:col>
      <xdr:colOff>234965</xdr:colOff>
      <xdr:row>55</xdr:row>
      <xdr:rowOff>58520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4CC0EB-B6DF-BA42-9B1F-39AD66155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127000</xdr:rowOff>
        </xdr:from>
        <xdr:to>
          <xdr:col>17</xdr:col>
          <xdr:colOff>101600</xdr:colOff>
          <xdr:row>57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127000</xdr:rowOff>
        </xdr:from>
        <xdr:to>
          <xdr:col>17</xdr:col>
          <xdr:colOff>101600</xdr:colOff>
          <xdr:row>59</xdr:row>
          <xdr:rowOff>139700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905691</xdr:colOff>
      <xdr:row>32</xdr:row>
      <xdr:rowOff>189411</xdr:rowOff>
    </xdr:from>
    <xdr:to>
      <xdr:col>14</xdr:col>
      <xdr:colOff>219891</xdr:colOff>
      <xdr:row>46</xdr:row>
      <xdr:rowOff>158931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905690</xdr:colOff>
      <xdr:row>46</xdr:row>
      <xdr:rowOff>145869</xdr:rowOff>
    </xdr:from>
    <xdr:to>
      <xdr:col>14</xdr:col>
      <xdr:colOff>219890</xdr:colOff>
      <xdr:row>60</xdr:row>
      <xdr:rowOff>115389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344714</xdr:colOff>
      <xdr:row>28</xdr:row>
      <xdr:rowOff>18143</xdr:rowOff>
    </xdr:from>
    <xdr:to>
      <xdr:col>25</xdr:col>
      <xdr:colOff>91610</xdr:colOff>
      <xdr:row>54</xdr:row>
      <xdr:rowOff>128792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4F8D1F7-9900-EC47-A831-16DE3665AD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88900</xdr:rowOff>
        </xdr:from>
        <xdr:to>
          <xdr:col>17</xdr:col>
          <xdr:colOff>127000</xdr:colOff>
          <xdr:row>57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88900</xdr:rowOff>
        </xdr:from>
        <xdr:to>
          <xdr:col>17</xdr:col>
          <xdr:colOff>127000</xdr:colOff>
          <xdr:row>59</xdr:row>
          <xdr:rowOff>101600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760797</xdr:colOff>
      <xdr:row>33</xdr:row>
      <xdr:rowOff>127736</xdr:rowOff>
    </xdr:from>
    <xdr:to>
      <xdr:col>14</xdr:col>
      <xdr:colOff>79810</xdr:colOff>
      <xdr:row>47</xdr:row>
      <xdr:rowOff>97256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760797</xdr:colOff>
      <xdr:row>47</xdr:row>
      <xdr:rowOff>107682</xdr:rowOff>
    </xdr:from>
    <xdr:to>
      <xdr:col>14</xdr:col>
      <xdr:colOff>79810</xdr:colOff>
      <xdr:row>61</xdr:row>
      <xdr:rowOff>77203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367632</xdr:colOff>
      <xdr:row>28</xdr:row>
      <xdr:rowOff>167105</xdr:rowOff>
    </xdr:from>
    <xdr:to>
      <xdr:col>25</xdr:col>
      <xdr:colOff>226727</xdr:colOff>
      <xdr:row>55</xdr:row>
      <xdr:rowOff>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814FB49-0019-0442-8B25-DAD88976D6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56</xdr:row>
          <xdr:rowOff>101600</xdr:rowOff>
        </xdr:from>
        <xdr:to>
          <xdr:col>17</xdr:col>
          <xdr:colOff>114300</xdr:colOff>
          <xdr:row>57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88900</xdr:rowOff>
        </xdr:from>
        <xdr:to>
          <xdr:col>17</xdr:col>
          <xdr:colOff>114300</xdr:colOff>
          <xdr:row>59</xdr:row>
          <xdr:rowOff>114300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860766</xdr:colOff>
      <xdr:row>33</xdr:row>
      <xdr:rowOff>171742</xdr:rowOff>
    </xdr:from>
    <xdr:to>
      <xdr:col>14</xdr:col>
      <xdr:colOff>173012</xdr:colOff>
      <xdr:row>47</xdr:row>
      <xdr:rowOff>141263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870535</xdr:colOff>
      <xdr:row>47</xdr:row>
      <xdr:rowOff>132667</xdr:rowOff>
    </xdr:from>
    <xdr:to>
      <xdr:col>14</xdr:col>
      <xdr:colOff>182781</xdr:colOff>
      <xdr:row>61</xdr:row>
      <xdr:rowOff>102187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28</xdr:row>
      <xdr:rowOff>0</xdr:rowOff>
    </xdr:from>
    <xdr:to>
      <xdr:col>25</xdr:col>
      <xdr:colOff>191163</xdr:colOff>
      <xdr:row>55</xdr:row>
      <xdr:rowOff>24121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D364A0-4A54-0D40-8FB4-807EC4C51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139700</xdr:rowOff>
        </xdr:from>
        <xdr:to>
          <xdr:col>17</xdr:col>
          <xdr:colOff>88900</xdr:colOff>
          <xdr:row>57</xdr:row>
          <xdr:rowOff>165100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825500</xdr:colOff>
          <xdr:row>58</xdr:row>
          <xdr:rowOff>127000</xdr:rowOff>
        </xdr:from>
        <xdr:to>
          <xdr:col>17</xdr:col>
          <xdr:colOff>88900</xdr:colOff>
          <xdr:row>59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684797</xdr:colOff>
      <xdr:row>33</xdr:row>
      <xdr:rowOff>132748</xdr:rowOff>
    </xdr:from>
    <xdr:to>
      <xdr:col>13</xdr:col>
      <xdr:colOff>1126757</xdr:colOff>
      <xdr:row>47</xdr:row>
      <xdr:rowOff>102268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708861</xdr:colOff>
      <xdr:row>47</xdr:row>
      <xdr:rowOff>92644</xdr:rowOff>
    </xdr:from>
    <xdr:to>
      <xdr:col>14</xdr:col>
      <xdr:colOff>19853</xdr:colOff>
      <xdr:row>61</xdr:row>
      <xdr:rowOff>62163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25</xdr:col>
      <xdr:colOff>189963</xdr:colOff>
      <xdr:row>55</xdr:row>
      <xdr:rowOff>85822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4D814B-5CF7-ED4F-A928-472A14E50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101600</xdr:rowOff>
        </xdr:from>
        <xdr:to>
          <xdr:col>17</xdr:col>
          <xdr:colOff>127000</xdr:colOff>
          <xdr:row>57</xdr:row>
          <xdr:rowOff>127000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101600</xdr:rowOff>
        </xdr:from>
        <xdr:to>
          <xdr:col>17</xdr:col>
          <xdr:colOff>127000</xdr:colOff>
          <xdr:row>59</xdr:row>
          <xdr:rowOff>127000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875872</xdr:colOff>
      <xdr:row>33</xdr:row>
      <xdr:rowOff>12457</xdr:rowOff>
    </xdr:from>
    <xdr:to>
      <xdr:col>14</xdr:col>
      <xdr:colOff>186476</xdr:colOff>
      <xdr:row>46</xdr:row>
      <xdr:rowOff>178898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884434</xdr:colOff>
      <xdr:row>46</xdr:row>
      <xdr:rowOff>183692</xdr:rowOff>
    </xdr:from>
    <xdr:to>
      <xdr:col>14</xdr:col>
      <xdr:colOff>195038</xdr:colOff>
      <xdr:row>60</xdr:row>
      <xdr:rowOff>153213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385282</xdr:colOff>
      <xdr:row>28</xdr:row>
      <xdr:rowOff>185506</xdr:rowOff>
    </xdr:from>
    <xdr:to>
      <xdr:col>25</xdr:col>
      <xdr:colOff>200836</xdr:colOff>
      <xdr:row>54</xdr:row>
      <xdr:rowOff>187408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8A2D171-71A3-764C-A48C-B5BE7FBD1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127000</xdr:rowOff>
        </xdr:from>
        <xdr:to>
          <xdr:col>17</xdr:col>
          <xdr:colOff>127000</xdr:colOff>
          <xdr:row>57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127000</xdr:rowOff>
        </xdr:from>
        <xdr:to>
          <xdr:col>17</xdr:col>
          <xdr:colOff>127000</xdr:colOff>
          <xdr:row>59</xdr:row>
          <xdr:rowOff>139700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755650</xdr:colOff>
      <xdr:row>33</xdr:row>
      <xdr:rowOff>140970</xdr:rowOff>
    </xdr:from>
    <xdr:to>
      <xdr:col>14</xdr:col>
      <xdr:colOff>69850</xdr:colOff>
      <xdr:row>47</xdr:row>
      <xdr:rowOff>110490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781050</xdr:colOff>
      <xdr:row>47</xdr:row>
      <xdr:rowOff>90170</xdr:rowOff>
    </xdr:from>
    <xdr:to>
      <xdr:col>14</xdr:col>
      <xdr:colOff>95250</xdr:colOff>
      <xdr:row>61</xdr:row>
      <xdr:rowOff>59690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63500</xdr:colOff>
      <xdr:row>30</xdr:row>
      <xdr:rowOff>42333</xdr:rowOff>
    </xdr:from>
    <xdr:to>
      <xdr:col>25</xdr:col>
      <xdr:colOff>277653</xdr:colOff>
      <xdr:row>54</xdr:row>
      <xdr:rowOff>158393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CDA32B-CC15-7D44-AD2D-17AB5BF900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56</xdr:row>
          <xdr:rowOff>127000</xdr:rowOff>
        </xdr:from>
        <xdr:to>
          <xdr:col>17</xdr:col>
          <xdr:colOff>127000</xdr:colOff>
          <xdr:row>57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58</xdr:row>
          <xdr:rowOff>127000</xdr:rowOff>
        </xdr:from>
        <xdr:to>
          <xdr:col>17</xdr:col>
          <xdr:colOff>127000</xdr:colOff>
          <xdr:row>59</xdr:row>
          <xdr:rowOff>139700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C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908635</xdr:colOff>
      <xdr:row>32</xdr:row>
      <xdr:rowOff>170008</xdr:rowOff>
    </xdr:from>
    <xdr:to>
      <xdr:col>14</xdr:col>
      <xdr:colOff>216656</xdr:colOff>
      <xdr:row>46</xdr:row>
      <xdr:rowOff>139528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867445</xdr:colOff>
      <xdr:row>46</xdr:row>
      <xdr:rowOff>128820</xdr:rowOff>
    </xdr:from>
    <xdr:to>
      <xdr:col>14</xdr:col>
      <xdr:colOff>175466</xdr:colOff>
      <xdr:row>60</xdr:row>
      <xdr:rowOff>98340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30</xdr:row>
      <xdr:rowOff>34324</xdr:rowOff>
    </xdr:from>
    <xdr:to>
      <xdr:col>25</xdr:col>
      <xdr:colOff>232460</xdr:colOff>
      <xdr:row>55</xdr:row>
      <xdr:rowOff>81736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5EC2C7-A662-744D-9358-DED301E92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56</xdr:row>
          <xdr:rowOff>63500</xdr:rowOff>
        </xdr:from>
        <xdr:to>
          <xdr:col>17</xdr:col>
          <xdr:colOff>101600</xdr:colOff>
          <xdr:row>57</xdr:row>
          <xdr:rowOff>88900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58</xdr:row>
          <xdr:rowOff>63500</xdr:rowOff>
        </xdr:from>
        <xdr:to>
          <xdr:col>17</xdr:col>
          <xdr:colOff>101600</xdr:colOff>
          <xdr:row>59</xdr:row>
          <xdr:rowOff>88900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795169</xdr:colOff>
      <xdr:row>32</xdr:row>
      <xdr:rowOff>183776</xdr:rowOff>
    </xdr:from>
    <xdr:to>
      <xdr:col>14</xdr:col>
      <xdr:colOff>104887</xdr:colOff>
      <xdr:row>46</xdr:row>
      <xdr:rowOff>153296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759310</xdr:colOff>
      <xdr:row>46</xdr:row>
      <xdr:rowOff>165846</xdr:rowOff>
    </xdr:from>
    <xdr:to>
      <xdr:col>14</xdr:col>
      <xdr:colOff>69028</xdr:colOff>
      <xdr:row>60</xdr:row>
      <xdr:rowOff>135367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298823</xdr:colOff>
      <xdr:row>28</xdr:row>
      <xdr:rowOff>119530</xdr:rowOff>
    </xdr:from>
    <xdr:to>
      <xdr:col>25</xdr:col>
      <xdr:colOff>159369</xdr:colOff>
      <xdr:row>53</xdr:row>
      <xdr:rowOff>86178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CF5603-47CF-024B-889F-D18636F3E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56</xdr:row>
          <xdr:rowOff>12700</xdr:rowOff>
        </xdr:from>
        <xdr:to>
          <xdr:col>17</xdr:col>
          <xdr:colOff>152400</xdr:colOff>
          <xdr:row>57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58</xdr:row>
          <xdr:rowOff>12700</xdr:rowOff>
        </xdr:from>
        <xdr:to>
          <xdr:col>17</xdr:col>
          <xdr:colOff>152400</xdr:colOff>
          <xdr:row>59</xdr:row>
          <xdr:rowOff>25400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E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921423</xdr:colOff>
      <xdr:row>33</xdr:row>
      <xdr:rowOff>23458</xdr:rowOff>
    </xdr:from>
    <xdr:to>
      <xdr:col>14</xdr:col>
      <xdr:colOff>238910</xdr:colOff>
      <xdr:row>46</xdr:row>
      <xdr:rowOff>194684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</xdr:colOff>
      <xdr:row>46</xdr:row>
      <xdr:rowOff>187811</xdr:rowOff>
    </xdr:from>
    <xdr:to>
      <xdr:col>14</xdr:col>
      <xdr:colOff>246380</xdr:colOff>
      <xdr:row>60</xdr:row>
      <xdr:rowOff>157330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37353</xdr:colOff>
      <xdr:row>28</xdr:row>
      <xdr:rowOff>161863</xdr:rowOff>
    </xdr:from>
    <xdr:to>
      <xdr:col>25</xdr:col>
      <xdr:colOff>303801</xdr:colOff>
      <xdr:row>54</xdr:row>
      <xdr:rowOff>178316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329C7D-0992-CF4A-8D1F-551EC6E2FC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55</xdr:row>
          <xdr:rowOff>177800</xdr:rowOff>
        </xdr:from>
        <xdr:to>
          <xdr:col>17</xdr:col>
          <xdr:colOff>114300</xdr:colOff>
          <xdr:row>56</xdr:row>
          <xdr:rowOff>203200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57</xdr:row>
          <xdr:rowOff>165100</xdr:rowOff>
        </xdr:from>
        <xdr:to>
          <xdr:col>17</xdr:col>
          <xdr:colOff>114300</xdr:colOff>
          <xdr:row>58</xdr:row>
          <xdr:rowOff>190500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872490</xdr:colOff>
      <xdr:row>33</xdr:row>
      <xdr:rowOff>74051</xdr:rowOff>
    </xdr:from>
    <xdr:to>
      <xdr:col>14</xdr:col>
      <xdr:colOff>184736</xdr:colOff>
      <xdr:row>47</xdr:row>
      <xdr:rowOff>43572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872490</xdr:colOff>
      <xdr:row>47</xdr:row>
      <xdr:rowOff>5666</xdr:rowOff>
    </xdr:from>
    <xdr:to>
      <xdr:col>14</xdr:col>
      <xdr:colOff>184736</xdr:colOff>
      <xdr:row>60</xdr:row>
      <xdr:rowOff>170571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48846</xdr:colOff>
      <xdr:row>28</xdr:row>
      <xdr:rowOff>81411</xdr:rowOff>
    </xdr:from>
    <xdr:to>
      <xdr:col>25</xdr:col>
      <xdr:colOff>259743</xdr:colOff>
      <xdr:row>55</xdr:row>
      <xdr:rowOff>2086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B9422F-82D2-954B-861E-E505910EF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55</xdr:row>
          <xdr:rowOff>165100</xdr:rowOff>
        </xdr:from>
        <xdr:to>
          <xdr:col>17</xdr:col>
          <xdr:colOff>114300</xdr:colOff>
          <xdr:row>56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57</xdr:row>
          <xdr:rowOff>165100</xdr:rowOff>
        </xdr:from>
        <xdr:to>
          <xdr:col>17</xdr:col>
          <xdr:colOff>114300</xdr:colOff>
          <xdr:row>58</xdr:row>
          <xdr:rowOff>177800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9929</xdr:colOff>
      <xdr:row>33</xdr:row>
      <xdr:rowOff>161060</xdr:rowOff>
    </xdr:from>
    <xdr:to>
      <xdr:col>14</xdr:col>
      <xdr:colOff>255617</xdr:colOff>
      <xdr:row>47</xdr:row>
      <xdr:rowOff>130580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910475</xdr:colOff>
      <xdr:row>47</xdr:row>
      <xdr:rowOff>137969</xdr:rowOff>
    </xdr:from>
    <xdr:to>
      <xdr:col>14</xdr:col>
      <xdr:colOff>220981</xdr:colOff>
      <xdr:row>61</xdr:row>
      <xdr:rowOff>107489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38485</xdr:colOff>
      <xdr:row>29</xdr:row>
      <xdr:rowOff>76969</xdr:rowOff>
    </xdr:from>
    <xdr:to>
      <xdr:col>25</xdr:col>
      <xdr:colOff>244941</xdr:colOff>
      <xdr:row>53</xdr:row>
      <xdr:rowOff>193029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4F00DC5-0FCD-7C4D-9D3B-CCC8FD6C00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55</xdr:row>
          <xdr:rowOff>165100</xdr:rowOff>
        </xdr:from>
        <xdr:to>
          <xdr:col>17</xdr:col>
          <xdr:colOff>114300</xdr:colOff>
          <xdr:row>56</xdr:row>
          <xdr:rowOff>190500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57</xdr:row>
          <xdr:rowOff>165100</xdr:rowOff>
        </xdr:from>
        <xdr:to>
          <xdr:col>17</xdr:col>
          <xdr:colOff>114300</xdr:colOff>
          <xdr:row>58</xdr:row>
          <xdr:rowOff>177800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23679</xdr:colOff>
      <xdr:row>33</xdr:row>
      <xdr:rowOff>74174</xdr:rowOff>
    </xdr:from>
    <xdr:to>
      <xdr:col>14</xdr:col>
      <xdr:colOff>258934</xdr:colOff>
      <xdr:row>47</xdr:row>
      <xdr:rowOff>43694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920717</xdr:colOff>
      <xdr:row>47</xdr:row>
      <xdr:rowOff>64530</xdr:rowOff>
    </xdr:from>
    <xdr:to>
      <xdr:col>14</xdr:col>
      <xdr:colOff>229997</xdr:colOff>
      <xdr:row>61</xdr:row>
      <xdr:rowOff>34049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25</xdr:col>
      <xdr:colOff>274171</xdr:colOff>
      <xdr:row>54</xdr:row>
      <xdr:rowOff>180364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5734F86-C91F-A247-A2F9-DF5D5F0BF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56</xdr:row>
          <xdr:rowOff>114300</xdr:rowOff>
        </xdr:from>
        <xdr:to>
          <xdr:col>17</xdr:col>
          <xdr:colOff>139700</xdr:colOff>
          <xdr:row>57</xdr:row>
          <xdr:rowOff>139700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58</xdr:row>
          <xdr:rowOff>101600</xdr:rowOff>
        </xdr:from>
        <xdr:to>
          <xdr:col>17</xdr:col>
          <xdr:colOff>139700</xdr:colOff>
          <xdr:row>59</xdr:row>
          <xdr:rowOff>127000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862754</xdr:colOff>
      <xdr:row>33</xdr:row>
      <xdr:rowOff>27941</xdr:rowOff>
    </xdr:from>
    <xdr:to>
      <xdr:col>14</xdr:col>
      <xdr:colOff>189654</xdr:colOff>
      <xdr:row>46</xdr:row>
      <xdr:rowOff>198544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841586</xdr:colOff>
      <xdr:row>46</xdr:row>
      <xdr:rowOff>197273</xdr:rowOff>
    </xdr:from>
    <xdr:to>
      <xdr:col>14</xdr:col>
      <xdr:colOff>168486</xdr:colOff>
      <xdr:row>60</xdr:row>
      <xdr:rowOff>166794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30</xdr:row>
      <xdr:rowOff>88194</xdr:rowOff>
    </xdr:from>
    <xdr:to>
      <xdr:col>25</xdr:col>
      <xdr:colOff>200043</xdr:colOff>
      <xdr:row>54</xdr:row>
      <xdr:rowOff>204254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605BDF-72A3-8842-A589-E5EAA44B3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56</xdr:row>
          <xdr:rowOff>50800</xdr:rowOff>
        </xdr:from>
        <xdr:to>
          <xdr:col>17</xdr:col>
          <xdr:colOff>127000</xdr:colOff>
          <xdr:row>57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58</xdr:row>
          <xdr:rowOff>50800</xdr:rowOff>
        </xdr:from>
        <xdr:to>
          <xdr:col>17</xdr:col>
          <xdr:colOff>127000</xdr:colOff>
          <xdr:row>59</xdr:row>
          <xdr:rowOff>63500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905933</xdr:colOff>
      <xdr:row>33</xdr:row>
      <xdr:rowOff>46990</xdr:rowOff>
    </xdr:from>
    <xdr:to>
      <xdr:col>14</xdr:col>
      <xdr:colOff>218440</xdr:colOff>
      <xdr:row>47</xdr:row>
      <xdr:rowOff>16511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905934</xdr:colOff>
      <xdr:row>47</xdr:row>
      <xdr:rowOff>13124</xdr:rowOff>
    </xdr:from>
    <xdr:to>
      <xdr:col>14</xdr:col>
      <xdr:colOff>218441</xdr:colOff>
      <xdr:row>60</xdr:row>
      <xdr:rowOff>177377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395112</xdr:colOff>
      <xdr:row>28</xdr:row>
      <xdr:rowOff>0</xdr:rowOff>
    </xdr:from>
    <xdr:to>
      <xdr:col>25</xdr:col>
      <xdr:colOff>171821</xdr:colOff>
      <xdr:row>54</xdr:row>
      <xdr:rowOff>59615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1412053-0E8B-1249-9A53-E952B23A6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56</xdr:row>
          <xdr:rowOff>25400</xdr:rowOff>
        </xdr:from>
        <xdr:to>
          <xdr:col>17</xdr:col>
          <xdr:colOff>139700</xdr:colOff>
          <xdr:row>57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Real vs Predicción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50800</xdr:colOff>
          <xdr:row>58</xdr:row>
          <xdr:rowOff>25400</xdr:rowOff>
        </xdr:from>
        <xdr:to>
          <xdr:col>17</xdr:col>
          <xdr:colOff>139700</xdr:colOff>
          <xdr:row>59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Errores por Hora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41710</xdr:colOff>
      <xdr:row>33</xdr:row>
      <xdr:rowOff>117709</xdr:rowOff>
    </xdr:from>
    <xdr:to>
      <xdr:col>14</xdr:col>
      <xdr:colOff>293971</xdr:colOff>
      <xdr:row>47</xdr:row>
      <xdr:rowOff>87228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31685</xdr:colOff>
      <xdr:row>47</xdr:row>
      <xdr:rowOff>77603</xdr:rowOff>
    </xdr:from>
    <xdr:to>
      <xdr:col>14</xdr:col>
      <xdr:colOff>283946</xdr:colOff>
      <xdr:row>61</xdr:row>
      <xdr:rowOff>47123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33421</xdr:colOff>
      <xdr:row>28</xdr:row>
      <xdr:rowOff>133684</xdr:rowOff>
    </xdr:from>
    <xdr:to>
      <xdr:col>25</xdr:col>
      <xdr:colOff>313303</xdr:colOff>
      <xdr:row>54</xdr:row>
      <xdr:rowOff>116060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B12804-5CD7-B340-B032-38378F6A44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5E372-17D1-E345-991A-F93489D0FD15}">
  <sheetPr codeName="Sheet1">
    <pageSetUpPr fitToPage="1"/>
  </sheetPr>
  <dimension ref="A1:W61"/>
  <sheetViews>
    <sheetView zoomScale="70" zoomScaleNormal="70" workbookViewId="0">
      <selection activeCell="F29" sqref="F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7.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7.6640625" style="5" customWidth="1"/>
    <col min="15" max="15" width="10.83203125" style="5"/>
    <col min="16" max="16" width="5.33203125" style="5" customWidth="1"/>
    <col min="17" max="20" width="10.83203125" style="5"/>
    <col min="21" max="21" width="5.6640625" style="5" customWidth="1"/>
    <col min="22" max="22" width="14.83203125" style="5" bestFit="1" customWidth="1"/>
    <col min="23" max="16384" width="10.83203125" style="5"/>
  </cols>
  <sheetData>
    <row r="1" spans="1:23" ht="44" customHeight="1">
      <c r="A1" s="39" t="s">
        <v>32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2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2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1.5395761637384542E-2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7.8790074261909093E-2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0.19266454166666669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0.22728475000000001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0.30199575000000006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0.37123616666666664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0.61851866666666666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0.66666666666666663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0.13980499999999998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0.36861866666666671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1.8325333333333336E-2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1.8325333333333336E-2</v>
      </c>
    </row>
    <row r="16" spans="1:23">
      <c r="A16" s="4">
        <v>7</v>
      </c>
      <c r="B16" s="4">
        <v>7</v>
      </c>
      <c r="C16" s="4">
        <v>0</v>
      </c>
      <c r="D16" s="33">
        <v>1</v>
      </c>
      <c r="E16" s="8"/>
      <c r="F16" s="15" t="s">
        <v>3</v>
      </c>
      <c r="G16" s="24">
        <f>AVERAGE(D24:D26)</f>
        <v>0.191024</v>
      </c>
      <c r="I16" s="4">
        <v>7</v>
      </c>
      <c r="J16" s="4">
        <v>7</v>
      </c>
      <c r="K16" s="4">
        <v>0</v>
      </c>
      <c r="L16" s="33">
        <v>1</v>
      </c>
      <c r="M16" s="8"/>
      <c r="N16" s="15" t="s">
        <v>3</v>
      </c>
      <c r="O16" s="24">
        <f>AVERAGE(L24:L26)</f>
        <v>0.191024</v>
      </c>
    </row>
    <row r="17" spans="1:15">
      <c r="A17" s="4">
        <v>8</v>
      </c>
      <c r="B17" s="4">
        <v>180</v>
      </c>
      <c r="C17" s="4">
        <v>26</v>
      </c>
      <c r="D17" s="33">
        <v>0.85555599999999998</v>
      </c>
      <c r="E17" s="8"/>
      <c r="F17" s="15" t="s">
        <v>4</v>
      </c>
      <c r="G17" s="24">
        <f>AVERAGE(D27:D29)</f>
        <v>0.57364333333333339</v>
      </c>
      <c r="I17" s="4">
        <v>8</v>
      </c>
      <c r="J17" s="4">
        <v>180</v>
      </c>
      <c r="K17" s="4">
        <v>0</v>
      </c>
      <c r="L17" s="33">
        <v>1</v>
      </c>
      <c r="M17" s="8"/>
      <c r="N17" s="15" t="s">
        <v>4</v>
      </c>
      <c r="O17" s="24">
        <f>AVERAGE(L27:L29)</f>
        <v>0.57364333333333339</v>
      </c>
    </row>
    <row r="18" spans="1:15">
      <c r="A18" s="4">
        <v>9</v>
      </c>
      <c r="B18" s="4">
        <v>472</v>
      </c>
      <c r="C18" s="4">
        <v>324</v>
      </c>
      <c r="D18" s="33">
        <v>0.31355899999999998</v>
      </c>
      <c r="E18" s="8"/>
      <c r="F18" s="8"/>
      <c r="G18" s="12"/>
      <c r="I18" s="4">
        <v>9</v>
      </c>
      <c r="J18" s="4">
        <v>472</v>
      </c>
      <c r="K18" s="4">
        <v>0</v>
      </c>
      <c r="L18" s="33">
        <v>1</v>
      </c>
      <c r="M18" s="8"/>
      <c r="N18" s="8"/>
      <c r="O18" s="12"/>
    </row>
    <row r="19" spans="1:15">
      <c r="A19" s="4">
        <v>10</v>
      </c>
      <c r="B19" s="4">
        <v>640</v>
      </c>
      <c r="C19" s="4">
        <v>654</v>
      </c>
      <c r="D19" s="33">
        <v>2.1874999999999999E-2</v>
      </c>
      <c r="E19" s="8"/>
      <c r="F19" s="8"/>
      <c r="G19" s="12"/>
      <c r="I19" s="4">
        <v>10</v>
      </c>
      <c r="J19" s="4">
        <v>640</v>
      </c>
      <c r="K19" s="4">
        <v>654</v>
      </c>
      <c r="L19" s="33">
        <v>2.1874999999999999E-2</v>
      </c>
      <c r="M19" s="8"/>
      <c r="N19" s="8"/>
      <c r="O19" s="12"/>
    </row>
    <row r="20" spans="1:15" ht="16" customHeight="1">
      <c r="A20" s="4">
        <v>11</v>
      </c>
      <c r="B20" s="4">
        <v>643</v>
      </c>
      <c r="C20" s="4">
        <v>697</v>
      </c>
      <c r="D20" s="33">
        <v>8.3981E-2</v>
      </c>
      <c r="E20" s="8"/>
      <c r="F20" s="37" t="s">
        <v>18</v>
      </c>
      <c r="G20" s="38">
        <f>SUM(B9:B32)</f>
        <v>5521</v>
      </c>
      <c r="I20" s="4">
        <v>11</v>
      </c>
      <c r="J20" s="4">
        <v>643</v>
      </c>
      <c r="K20" s="4">
        <v>697</v>
      </c>
      <c r="L20" s="33">
        <v>8.3981E-2</v>
      </c>
      <c r="M20" s="8"/>
      <c r="N20" s="37" t="s">
        <v>18</v>
      </c>
      <c r="O20" s="38">
        <f>SUM(J9:J32)</f>
        <v>5521</v>
      </c>
    </row>
    <row r="21" spans="1:15">
      <c r="A21" s="4">
        <v>12</v>
      </c>
      <c r="B21" s="4">
        <v>637</v>
      </c>
      <c r="C21" s="4">
        <v>612</v>
      </c>
      <c r="D21" s="33">
        <v>3.9246000000000003E-2</v>
      </c>
      <c r="E21" s="8"/>
      <c r="F21" s="37"/>
      <c r="G21" s="38"/>
      <c r="I21" s="4">
        <v>12</v>
      </c>
      <c r="J21" s="4">
        <v>637</v>
      </c>
      <c r="K21" s="4">
        <v>612</v>
      </c>
      <c r="L21" s="33">
        <v>3.9246000000000003E-2</v>
      </c>
      <c r="M21" s="8"/>
      <c r="N21" s="37"/>
      <c r="O21" s="38"/>
    </row>
    <row r="22" spans="1:15" ht="16" customHeight="1">
      <c r="A22" s="4">
        <v>13</v>
      </c>
      <c r="B22" s="4">
        <v>635</v>
      </c>
      <c r="C22" s="4">
        <v>638</v>
      </c>
      <c r="D22" s="33">
        <v>4.7239999999999999E-3</v>
      </c>
      <c r="E22" s="8"/>
      <c r="F22" s="37" t="s">
        <v>19</v>
      </c>
      <c r="G22" s="38">
        <f>SUM(C9:C32)</f>
        <v>5436</v>
      </c>
      <c r="I22" s="4">
        <v>13</v>
      </c>
      <c r="J22" s="4">
        <v>635</v>
      </c>
      <c r="K22" s="4">
        <v>638</v>
      </c>
      <c r="L22" s="33">
        <v>4.7239999999999999E-3</v>
      </c>
      <c r="M22" s="8"/>
      <c r="N22" s="37" t="s">
        <v>19</v>
      </c>
      <c r="O22" s="38">
        <f>SUM(K9:K32)</f>
        <v>5086</v>
      </c>
    </row>
    <row r="23" spans="1:15">
      <c r="A23" s="4">
        <v>14</v>
      </c>
      <c r="B23" s="4">
        <v>636</v>
      </c>
      <c r="C23" s="4">
        <v>629</v>
      </c>
      <c r="D23" s="33">
        <v>1.1006E-2</v>
      </c>
      <c r="E23" s="8"/>
      <c r="F23" s="37"/>
      <c r="G23" s="38"/>
      <c r="I23" s="4">
        <v>14</v>
      </c>
      <c r="J23" s="4">
        <v>636</v>
      </c>
      <c r="K23" s="4">
        <v>629</v>
      </c>
      <c r="L23" s="33">
        <v>1.1006E-2</v>
      </c>
      <c r="M23" s="8"/>
      <c r="N23" s="37"/>
      <c r="O23" s="38"/>
    </row>
    <row r="24" spans="1:15">
      <c r="A24" s="4">
        <v>15</v>
      </c>
      <c r="B24" s="4">
        <v>636</v>
      </c>
      <c r="C24" s="4">
        <v>609</v>
      </c>
      <c r="D24" s="33">
        <v>4.2452999999999998E-2</v>
      </c>
      <c r="E24" s="8"/>
      <c r="F24" s="8"/>
      <c r="G24" s="12"/>
      <c r="I24" s="4">
        <v>15</v>
      </c>
      <c r="J24" s="4">
        <v>636</v>
      </c>
      <c r="K24" s="4">
        <v>609</v>
      </c>
      <c r="L24" s="33">
        <v>4.2452999999999998E-2</v>
      </c>
      <c r="M24" s="8"/>
      <c r="N24" s="8"/>
      <c r="O24" s="12"/>
    </row>
    <row r="25" spans="1:15">
      <c r="A25" s="4">
        <v>16</v>
      </c>
      <c r="B25" s="4">
        <v>601</v>
      </c>
      <c r="C25" s="4">
        <v>580</v>
      </c>
      <c r="D25" s="33">
        <v>3.4942000000000001E-2</v>
      </c>
      <c r="E25" s="8"/>
      <c r="F25" s="8"/>
      <c r="G25" s="12"/>
      <c r="I25" s="4">
        <v>16</v>
      </c>
      <c r="J25" s="4">
        <v>601</v>
      </c>
      <c r="K25" s="4">
        <v>580</v>
      </c>
      <c r="L25" s="33">
        <v>3.4942000000000001E-2</v>
      </c>
      <c r="M25" s="8"/>
      <c r="N25" s="8"/>
      <c r="O25" s="12"/>
    </row>
    <row r="26" spans="1:15">
      <c r="A26" s="4">
        <v>17</v>
      </c>
      <c r="B26" s="4">
        <v>347</v>
      </c>
      <c r="C26" s="4">
        <v>519</v>
      </c>
      <c r="D26" s="33">
        <v>0.49567699999999998</v>
      </c>
      <c r="E26" s="8"/>
      <c r="F26" s="8"/>
      <c r="G26" s="12"/>
      <c r="I26" s="4">
        <v>17</v>
      </c>
      <c r="J26" s="4">
        <v>347</v>
      </c>
      <c r="K26" s="4">
        <v>519</v>
      </c>
      <c r="L26" s="33">
        <v>0.49567699999999998</v>
      </c>
      <c r="M26" s="8"/>
      <c r="N26" s="8"/>
      <c r="O26" s="12"/>
    </row>
    <row r="27" spans="1:15">
      <c r="A27" s="4">
        <v>18</v>
      </c>
      <c r="B27" s="4">
        <v>86</v>
      </c>
      <c r="C27" s="4">
        <v>148</v>
      </c>
      <c r="D27" s="33">
        <v>0.72092999999999996</v>
      </c>
      <c r="E27" s="8"/>
      <c r="F27" s="8"/>
      <c r="G27" s="12"/>
      <c r="I27" s="4">
        <v>18</v>
      </c>
      <c r="J27" s="4">
        <v>86</v>
      </c>
      <c r="K27" s="4">
        <v>148</v>
      </c>
      <c r="L27" s="33">
        <v>0.72092999999999996</v>
      </c>
      <c r="M27" s="8"/>
      <c r="N27" s="8"/>
      <c r="O27" s="12"/>
    </row>
    <row r="28" spans="1:15">
      <c r="A28" s="4">
        <v>19</v>
      </c>
      <c r="B28" s="4">
        <v>1</v>
      </c>
      <c r="C28" s="4">
        <v>0</v>
      </c>
      <c r="D28" s="33">
        <v>1</v>
      </c>
      <c r="E28" s="8"/>
      <c r="F28" s="8"/>
      <c r="G28" s="12"/>
      <c r="I28" s="4">
        <v>19</v>
      </c>
      <c r="J28" s="4">
        <v>1</v>
      </c>
      <c r="K28" s="4">
        <v>0</v>
      </c>
      <c r="L28" s="33">
        <v>1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2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32">
        <v>0</v>
      </c>
      <c r="B37" s="32">
        <v>0</v>
      </c>
      <c r="C37" s="32">
        <v>0</v>
      </c>
      <c r="D37" s="32">
        <v>0</v>
      </c>
      <c r="E37" s="8"/>
      <c r="F37" s="15" t="s">
        <v>15</v>
      </c>
      <c r="G37" s="28">
        <f>ABS(G50/G48-1)</f>
        <v>0.30465495381271512</v>
      </c>
      <c r="I37" s="19"/>
      <c r="J37" s="8"/>
      <c r="K37" s="8"/>
      <c r="L37" s="8"/>
      <c r="M37" s="8"/>
      <c r="N37" s="8"/>
      <c r="O37" s="12"/>
    </row>
    <row r="38" spans="1:15">
      <c r="A38" s="32">
        <v>1</v>
      </c>
      <c r="B38" s="32">
        <v>0</v>
      </c>
      <c r="C38" s="32">
        <v>0</v>
      </c>
      <c r="D38" s="32">
        <v>0</v>
      </c>
      <c r="E38" s="8"/>
      <c r="F38" s="15" t="s">
        <v>16</v>
      </c>
      <c r="G38" s="24">
        <f>AVERAGE(D37:D60)</f>
        <v>0.30013687500000003</v>
      </c>
      <c r="I38" s="19"/>
      <c r="J38" s="8"/>
      <c r="K38" s="8"/>
      <c r="L38" s="8"/>
      <c r="M38" s="8"/>
      <c r="N38" s="8"/>
      <c r="O38" s="12"/>
    </row>
    <row r="39" spans="1:15">
      <c r="A39" s="32">
        <v>2</v>
      </c>
      <c r="B39" s="32">
        <v>0</v>
      </c>
      <c r="C39" s="32">
        <v>0</v>
      </c>
      <c r="D39" s="32">
        <v>0</v>
      </c>
      <c r="E39" s="8"/>
      <c r="F39" s="15" t="s">
        <v>17</v>
      </c>
      <c r="G39" s="24">
        <f>AVERAGE(D44:D55)</f>
        <v>0.51694041666666668</v>
      </c>
      <c r="I39" s="19"/>
      <c r="J39" s="8"/>
      <c r="K39" s="8"/>
      <c r="L39" s="8"/>
      <c r="M39" s="8"/>
      <c r="N39" s="8"/>
      <c r="O39" s="12"/>
    </row>
    <row r="40" spans="1:15">
      <c r="A40" s="32">
        <v>3</v>
      </c>
      <c r="B40" s="32">
        <v>0</v>
      </c>
      <c r="C40" s="32">
        <v>0</v>
      </c>
      <c r="D40" s="32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32">
        <v>4</v>
      </c>
      <c r="B41" s="32">
        <v>0</v>
      </c>
      <c r="C41" s="32">
        <v>0</v>
      </c>
      <c r="D41" s="32">
        <v>0</v>
      </c>
      <c r="E41" s="8"/>
      <c r="F41" s="11" t="s">
        <v>0</v>
      </c>
      <c r="G41" s="24">
        <f>AVERAGE(D43:D45)</f>
        <v>0.66666666666666663</v>
      </c>
      <c r="I41" s="19"/>
      <c r="J41" s="8"/>
      <c r="K41" s="8"/>
      <c r="L41" s="8"/>
      <c r="M41" s="8"/>
      <c r="N41" s="8"/>
      <c r="O41" s="12"/>
    </row>
    <row r="42" spans="1:15">
      <c r="A42" s="32">
        <v>5</v>
      </c>
      <c r="B42" s="32">
        <v>0</v>
      </c>
      <c r="C42" s="32">
        <v>0</v>
      </c>
      <c r="D42" s="32">
        <v>0</v>
      </c>
      <c r="E42" s="8"/>
      <c r="F42" s="15" t="s">
        <v>1</v>
      </c>
      <c r="G42" s="24">
        <f>AVERAGE(D46:D48)</f>
        <v>0.36861866666666671</v>
      </c>
      <c r="I42" s="19"/>
      <c r="J42" s="8"/>
      <c r="K42" s="8"/>
      <c r="L42" s="8"/>
      <c r="M42" s="8"/>
      <c r="N42" s="8"/>
      <c r="O42" s="12"/>
    </row>
    <row r="43" spans="1:15">
      <c r="A43" s="32">
        <v>6</v>
      </c>
      <c r="B43" s="32">
        <v>0</v>
      </c>
      <c r="C43" s="32">
        <v>0</v>
      </c>
      <c r="D43" s="32">
        <v>0</v>
      </c>
      <c r="E43" s="8"/>
      <c r="F43" s="15" t="s">
        <v>2</v>
      </c>
      <c r="G43" s="24">
        <f>AVERAGE(D49:D51)</f>
        <v>1.8325333333333336E-2</v>
      </c>
      <c r="I43" s="19"/>
      <c r="J43" s="8"/>
      <c r="K43" s="8"/>
      <c r="L43" s="8"/>
      <c r="M43" s="8"/>
      <c r="N43" s="8"/>
      <c r="O43" s="12"/>
    </row>
    <row r="44" spans="1:15">
      <c r="A44" s="32">
        <v>7</v>
      </c>
      <c r="B44" s="32">
        <v>7</v>
      </c>
      <c r="C44" s="32">
        <v>0</v>
      </c>
      <c r="D44" s="33">
        <v>1</v>
      </c>
      <c r="E44" s="8"/>
      <c r="F44" s="15" t="s">
        <v>3</v>
      </c>
      <c r="G44" s="24">
        <f>AVERAGE(D52:D54)</f>
        <v>0.68081766666666665</v>
      </c>
      <c r="I44" s="19"/>
      <c r="J44" s="8"/>
      <c r="K44" s="8"/>
      <c r="L44" s="8"/>
      <c r="M44" s="8"/>
      <c r="N44" s="8"/>
      <c r="O44" s="12"/>
    </row>
    <row r="45" spans="1:15">
      <c r="A45" s="32">
        <v>8</v>
      </c>
      <c r="B45" s="32">
        <v>180</v>
      </c>
      <c r="C45" s="32">
        <v>0</v>
      </c>
      <c r="D45" s="33">
        <v>1</v>
      </c>
      <c r="E45" s="8"/>
      <c r="F45" s="15" t="s">
        <v>4</v>
      </c>
      <c r="G45" s="24">
        <f>AVERAGE(D55:D57)</f>
        <v>0.66666666666666663</v>
      </c>
      <c r="I45" s="19"/>
      <c r="J45" s="8"/>
      <c r="K45" s="8"/>
      <c r="L45" s="8"/>
      <c r="M45" s="8"/>
      <c r="N45" s="8"/>
      <c r="O45" s="12"/>
    </row>
    <row r="46" spans="1:15">
      <c r="A46" s="32">
        <v>9</v>
      </c>
      <c r="B46" s="32">
        <v>472</v>
      </c>
      <c r="C46" s="32">
        <v>0</v>
      </c>
      <c r="D46" s="33">
        <v>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32">
        <v>10</v>
      </c>
      <c r="B47" s="32">
        <v>640</v>
      </c>
      <c r="C47" s="32">
        <v>654</v>
      </c>
      <c r="D47" s="33">
        <v>2.1874999999999999E-2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32">
        <v>11</v>
      </c>
      <c r="B48" s="32">
        <v>643</v>
      </c>
      <c r="C48" s="32">
        <v>697</v>
      </c>
      <c r="D48" s="33">
        <v>8.3981E-2</v>
      </c>
      <c r="E48" s="8"/>
      <c r="F48" s="37" t="s">
        <v>18</v>
      </c>
      <c r="G48" s="38">
        <f>SUM(B37:B60)</f>
        <v>5521</v>
      </c>
      <c r="I48" s="19"/>
      <c r="J48" s="8"/>
      <c r="K48" s="8"/>
      <c r="L48" s="8"/>
      <c r="M48" s="8"/>
      <c r="N48" s="8"/>
      <c r="O48" s="12"/>
    </row>
    <row r="49" spans="1:19">
      <c r="A49" s="32">
        <v>12</v>
      </c>
      <c r="B49" s="32">
        <v>637</v>
      </c>
      <c r="C49" s="32">
        <v>612</v>
      </c>
      <c r="D49" s="33">
        <v>3.9246000000000003E-2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9" ht="16" customHeight="1">
      <c r="A50" s="32">
        <v>13</v>
      </c>
      <c r="B50" s="32">
        <v>635</v>
      </c>
      <c r="C50" s="32">
        <v>638</v>
      </c>
      <c r="D50" s="33">
        <v>4.7239999999999999E-3</v>
      </c>
      <c r="E50" s="8"/>
      <c r="F50" s="37" t="s">
        <v>19</v>
      </c>
      <c r="G50" s="38">
        <f>SUM(C37:C60)</f>
        <v>3839</v>
      </c>
      <c r="I50" s="19"/>
      <c r="J50" s="8"/>
      <c r="K50" s="8"/>
      <c r="L50" s="8"/>
      <c r="M50" s="8"/>
      <c r="N50" s="8"/>
      <c r="O50" s="12"/>
    </row>
    <row r="51" spans="1:19">
      <c r="A51" s="32">
        <v>14</v>
      </c>
      <c r="B51" s="32">
        <v>636</v>
      </c>
      <c r="C51" s="32">
        <v>629</v>
      </c>
      <c r="D51" s="33">
        <v>1.1006E-2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9">
      <c r="A52" s="32">
        <v>15</v>
      </c>
      <c r="B52" s="32">
        <v>636</v>
      </c>
      <c r="C52" s="32">
        <v>609</v>
      </c>
      <c r="D52" s="33">
        <v>4.2452999999999998E-2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9">
      <c r="A53" s="32">
        <v>16</v>
      </c>
      <c r="B53" s="32">
        <v>601</v>
      </c>
      <c r="C53" s="32">
        <v>0</v>
      </c>
      <c r="D53" s="33">
        <v>1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9">
      <c r="A54" s="32">
        <v>17</v>
      </c>
      <c r="B54" s="32">
        <v>347</v>
      </c>
      <c r="C54" s="32">
        <v>0</v>
      </c>
      <c r="D54" s="33">
        <v>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9">
      <c r="A55" s="32">
        <v>18</v>
      </c>
      <c r="B55" s="32">
        <v>86</v>
      </c>
      <c r="C55" s="32">
        <v>0</v>
      </c>
      <c r="D55" s="33">
        <v>1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9">
      <c r="A56" s="32">
        <v>19</v>
      </c>
      <c r="B56" s="32">
        <v>1</v>
      </c>
      <c r="C56" s="32">
        <v>0</v>
      </c>
      <c r="D56" s="33">
        <v>1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9">
      <c r="A57" s="32">
        <v>20</v>
      </c>
      <c r="B57" s="32">
        <v>0</v>
      </c>
      <c r="C57" s="32">
        <v>0</v>
      </c>
      <c r="D57" s="32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9">
      <c r="A58" s="32">
        <v>21</v>
      </c>
      <c r="B58" s="32">
        <v>0</v>
      </c>
      <c r="C58" s="32">
        <v>0</v>
      </c>
      <c r="D58" s="32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9">
      <c r="A59" s="32">
        <v>22</v>
      </c>
      <c r="B59" s="32">
        <v>0</v>
      </c>
      <c r="C59" s="32">
        <v>0</v>
      </c>
      <c r="D59" s="32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  <c r="S59" s="5" t="s">
        <v>43</v>
      </c>
    </row>
    <row r="60" spans="1:19">
      <c r="A60" s="32">
        <v>23</v>
      </c>
      <c r="B60" s="32">
        <v>0</v>
      </c>
      <c r="C60" s="32">
        <v>0</v>
      </c>
      <c r="D60" s="32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  <row r="61" spans="1:19" ht="19">
      <c r="A61" s="30"/>
      <c r="B61" s="31"/>
      <c r="C61" s="31"/>
      <c r="D61" s="31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127000</xdr:rowOff>
                  </from>
                  <to>
                    <xdr:col>17</xdr:col>
                    <xdr:colOff>101600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127000</xdr:rowOff>
                  </from>
                  <to>
                    <xdr:col>17</xdr:col>
                    <xdr:colOff>101600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2309C-1AFA-6B43-B166-D367D5B56123}">
  <sheetPr codeName="Sheet6">
    <pageSetUpPr fitToPage="1"/>
  </sheetPr>
  <dimension ref="A1:W60"/>
  <sheetViews>
    <sheetView topLeftCell="C1" zoomScale="67" zoomScaleNormal="67" workbookViewId="0">
      <selection activeCell="D20" sqref="D20:D23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7.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7.6640625" style="5" customWidth="1"/>
    <col min="15" max="15" width="10.83203125" style="5"/>
    <col min="16" max="16" width="5.33203125" style="5" customWidth="1"/>
    <col min="17" max="20" width="10.83203125" style="5"/>
    <col min="21" max="21" width="5.6640625" style="5" customWidth="1"/>
    <col min="22" max="22" width="14.83203125" style="5" bestFit="1" customWidth="1"/>
    <col min="23" max="16384" width="10.83203125" style="5"/>
  </cols>
  <sheetData>
    <row r="1" spans="1:23" ht="44" customHeight="1">
      <c r="A1" s="39" t="s">
        <v>26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2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2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2.8733567990805287E-2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1.2427268156023241E-2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0.15579644872400314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0.14688178902452997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0.31159289744800628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0.29376357804905995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0.20575667298606723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0.10048735294253364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4.5335995720604911E-3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3.8485642019808829E-2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2.6512409036261769E-2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2.6512409036261769E-2</v>
      </c>
    </row>
    <row r="16" spans="1:23">
      <c r="A16" s="4">
        <v>7</v>
      </c>
      <c r="B16" s="4">
        <v>285</v>
      </c>
      <c r="C16" s="4">
        <v>255</v>
      </c>
      <c r="D16" s="26">
        <f t="shared" ref="D16:D27" si="0">ABS(C16/B16-1)</f>
        <v>0.10526315789473684</v>
      </c>
      <c r="E16" s="8"/>
      <c r="F16" s="6" t="s">
        <v>3</v>
      </c>
      <c r="G16" s="24">
        <f>AVERAGE(D24:D26)</f>
        <v>0.18950991114748808</v>
      </c>
      <c r="I16" s="4">
        <v>7</v>
      </c>
      <c r="J16" s="4">
        <v>285</v>
      </c>
      <c r="K16" s="4">
        <v>249.71428599999999</v>
      </c>
      <c r="L16" s="26">
        <f t="shared" ref="L16:L27" si="1">ABS(K16/J16-1)</f>
        <v>0.12380952280701762</v>
      </c>
      <c r="M16" s="8"/>
      <c r="N16" s="6" t="s">
        <v>3</v>
      </c>
      <c r="O16" s="24">
        <f>AVERAGE(L24:L26)</f>
        <v>0.18950991114748808</v>
      </c>
    </row>
    <row r="17" spans="1:15">
      <c r="A17" s="4">
        <v>8</v>
      </c>
      <c r="B17" s="4">
        <v>1166</v>
      </c>
      <c r="C17" s="4">
        <v>569</v>
      </c>
      <c r="D17" s="26">
        <f t="shared" si="0"/>
        <v>0.51200686106346482</v>
      </c>
      <c r="E17" s="8"/>
      <c r="F17" s="6" t="s">
        <v>4</v>
      </c>
      <c r="G17" s="24">
        <f>AVERAGE(D27:D29)</f>
        <v>0.8200589970501474</v>
      </c>
      <c r="I17" s="4">
        <v>8</v>
      </c>
      <c r="J17" s="4">
        <v>1166</v>
      </c>
      <c r="K17" s="4">
        <v>958.85714299999995</v>
      </c>
      <c r="L17" s="26">
        <f t="shared" si="1"/>
        <v>0.17765253602058328</v>
      </c>
      <c r="M17" s="8"/>
      <c r="N17" s="6" t="s">
        <v>4</v>
      </c>
      <c r="O17" s="24">
        <f>AVERAGE(L27:L29)</f>
        <v>0.8200589970501474</v>
      </c>
    </row>
    <row r="18" spans="1:15">
      <c r="A18" s="4">
        <v>9</v>
      </c>
      <c r="B18" s="4">
        <v>1547</v>
      </c>
      <c r="C18" s="4">
        <v>1544</v>
      </c>
      <c r="D18" s="26">
        <f t="shared" si="0"/>
        <v>1.9392372333548735E-3</v>
      </c>
      <c r="E18" s="8"/>
      <c r="F18" s="8"/>
      <c r="G18" s="12"/>
      <c r="I18" s="4">
        <v>9</v>
      </c>
      <c r="J18" s="4">
        <v>1547</v>
      </c>
      <c r="K18" s="4">
        <v>1386.4285709999999</v>
      </c>
      <c r="L18" s="26">
        <f t="shared" si="1"/>
        <v>0.10379536457659988</v>
      </c>
      <c r="M18" s="8"/>
      <c r="N18" s="8"/>
      <c r="O18" s="12"/>
    </row>
    <row r="19" spans="1:15">
      <c r="A19" s="4">
        <v>10</v>
      </c>
      <c r="B19" s="4">
        <v>1569</v>
      </c>
      <c r="C19" s="4">
        <v>1581</v>
      </c>
      <c r="D19" s="26">
        <f t="shared" si="0"/>
        <v>7.6481835564052858E-3</v>
      </c>
      <c r="E19" s="8"/>
      <c r="F19" s="8"/>
      <c r="G19" s="12"/>
      <c r="I19" s="4">
        <v>10</v>
      </c>
      <c r="J19" s="4">
        <v>1569</v>
      </c>
      <c r="K19" s="4">
        <v>1581</v>
      </c>
      <c r="L19" s="26">
        <f t="shared" si="1"/>
        <v>7.6481835564052858E-3</v>
      </c>
      <c r="M19" s="8"/>
      <c r="N19" s="8"/>
      <c r="O19" s="12"/>
    </row>
    <row r="20" spans="1:15" ht="16" customHeight="1">
      <c r="A20" s="4">
        <v>11</v>
      </c>
      <c r="B20" s="4">
        <v>1495</v>
      </c>
      <c r="C20" s="4">
        <v>1501</v>
      </c>
      <c r="D20" s="26">
        <f t="shared" si="0"/>
        <v>4.0133779264213132E-3</v>
      </c>
      <c r="E20" s="8"/>
      <c r="F20" s="37" t="s">
        <v>18</v>
      </c>
      <c r="G20" s="38">
        <f>SUM(B9:B32)</f>
        <v>13921</v>
      </c>
      <c r="I20" s="4">
        <v>11</v>
      </c>
      <c r="J20" s="4">
        <v>1495</v>
      </c>
      <c r="K20" s="4">
        <v>1501</v>
      </c>
      <c r="L20" s="26">
        <f t="shared" si="1"/>
        <v>4.0133779264213132E-3</v>
      </c>
      <c r="M20" s="8"/>
      <c r="N20" s="37" t="s">
        <v>18</v>
      </c>
      <c r="O20" s="38">
        <f>SUM(J9:J32)</f>
        <v>13921</v>
      </c>
    </row>
    <row r="21" spans="1:15">
      <c r="A21" s="4">
        <v>12</v>
      </c>
      <c r="B21" s="4">
        <v>1517</v>
      </c>
      <c r="C21" s="4">
        <v>1411</v>
      </c>
      <c r="D21" s="26">
        <f t="shared" si="0"/>
        <v>6.9874752801582063E-2</v>
      </c>
      <c r="E21" s="8"/>
      <c r="F21" s="37"/>
      <c r="G21" s="38"/>
      <c r="I21" s="4">
        <v>12</v>
      </c>
      <c r="J21" s="4">
        <v>1517</v>
      </c>
      <c r="K21" s="4">
        <v>1411</v>
      </c>
      <c r="L21" s="26">
        <f t="shared" si="1"/>
        <v>6.9874752801582063E-2</v>
      </c>
      <c r="M21" s="8"/>
      <c r="N21" s="37"/>
      <c r="O21" s="38"/>
    </row>
    <row r="22" spans="1:15" ht="16" customHeight="1">
      <c r="A22" s="4">
        <v>13</v>
      </c>
      <c r="B22" s="4">
        <v>1469</v>
      </c>
      <c r="C22" s="4">
        <v>1457</v>
      </c>
      <c r="D22" s="26">
        <f t="shared" si="0"/>
        <v>8.1688223281143335E-3</v>
      </c>
      <c r="E22" s="8"/>
      <c r="F22" s="37" t="s">
        <v>19</v>
      </c>
      <c r="G22" s="38">
        <f>SUM(C9:C32)</f>
        <v>13521</v>
      </c>
      <c r="I22" s="4">
        <v>13</v>
      </c>
      <c r="J22" s="4">
        <v>1469</v>
      </c>
      <c r="K22" s="4">
        <v>1457</v>
      </c>
      <c r="L22" s="26">
        <f t="shared" si="1"/>
        <v>8.1688223281143335E-3</v>
      </c>
      <c r="M22" s="8"/>
      <c r="N22" s="37" t="s">
        <v>19</v>
      </c>
      <c r="O22" s="38">
        <f>SUM(K9:K32)</f>
        <v>13748</v>
      </c>
    </row>
    <row r="23" spans="1:15">
      <c r="A23" s="4">
        <v>14</v>
      </c>
      <c r="B23" s="4">
        <v>1339</v>
      </c>
      <c r="C23" s="4">
        <v>1341</v>
      </c>
      <c r="D23" s="26">
        <f t="shared" si="0"/>
        <v>1.4936519790889058E-3</v>
      </c>
      <c r="E23" s="8"/>
      <c r="F23" s="37"/>
      <c r="G23" s="38"/>
      <c r="I23" s="4">
        <v>14</v>
      </c>
      <c r="J23" s="4">
        <v>1339</v>
      </c>
      <c r="K23" s="4">
        <v>1341</v>
      </c>
      <c r="L23" s="26">
        <f t="shared" si="1"/>
        <v>1.4936519790889058E-3</v>
      </c>
      <c r="M23" s="8"/>
      <c r="N23" s="37"/>
      <c r="O23" s="38"/>
    </row>
    <row r="24" spans="1:15">
      <c r="A24" s="4">
        <v>15</v>
      </c>
      <c r="B24" s="4">
        <v>1461</v>
      </c>
      <c r="C24" s="4">
        <v>1184</v>
      </c>
      <c r="D24" s="26">
        <f t="shared" si="0"/>
        <v>0.18959616700889803</v>
      </c>
      <c r="E24" s="8"/>
      <c r="F24" s="8"/>
      <c r="G24" s="12"/>
      <c r="I24" s="4">
        <v>15</v>
      </c>
      <c r="J24" s="4">
        <v>1461</v>
      </c>
      <c r="K24" s="4">
        <v>1184</v>
      </c>
      <c r="L24" s="26">
        <f t="shared" si="1"/>
        <v>0.18959616700889803</v>
      </c>
      <c r="M24" s="8"/>
      <c r="N24" s="8"/>
      <c r="O24" s="12"/>
    </row>
    <row r="25" spans="1:15">
      <c r="A25" s="4">
        <v>16</v>
      </c>
      <c r="B25" s="4">
        <v>1232</v>
      </c>
      <c r="C25" s="4">
        <v>1357</v>
      </c>
      <c r="D25" s="26">
        <f t="shared" si="0"/>
        <v>0.10146103896103886</v>
      </c>
      <c r="E25" s="8"/>
      <c r="F25" s="8"/>
      <c r="G25" s="12"/>
      <c r="I25" s="4">
        <v>16</v>
      </c>
      <c r="J25" s="4">
        <v>1232</v>
      </c>
      <c r="K25" s="4">
        <v>1357</v>
      </c>
      <c r="L25" s="26">
        <f t="shared" si="1"/>
        <v>0.10146103896103886</v>
      </c>
      <c r="M25" s="8"/>
      <c r="N25" s="8"/>
      <c r="O25" s="12"/>
    </row>
    <row r="26" spans="1:15">
      <c r="A26" s="4">
        <v>17</v>
      </c>
      <c r="B26" s="4">
        <v>728</v>
      </c>
      <c r="C26" s="4">
        <v>930</v>
      </c>
      <c r="D26" s="26">
        <f t="shared" si="0"/>
        <v>0.27747252747252737</v>
      </c>
      <c r="E26" s="8"/>
      <c r="F26" s="8"/>
      <c r="G26" s="12"/>
      <c r="I26" s="4">
        <v>17</v>
      </c>
      <c r="J26" s="4">
        <v>728</v>
      </c>
      <c r="K26" s="4">
        <v>930</v>
      </c>
      <c r="L26" s="26">
        <f t="shared" si="1"/>
        <v>0.27747252747252737</v>
      </c>
      <c r="M26" s="8"/>
      <c r="N26" s="8"/>
      <c r="O26" s="12"/>
    </row>
    <row r="27" spans="1:15">
      <c r="A27" s="4">
        <v>18</v>
      </c>
      <c r="B27" s="4">
        <v>113</v>
      </c>
      <c r="C27" s="4">
        <v>391</v>
      </c>
      <c r="D27" s="26">
        <f t="shared" si="0"/>
        <v>2.4601769911504423</v>
      </c>
      <c r="E27" s="8"/>
      <c r="F27" s="8"/>
      <c r="G27" s="12"/>
      <c r="I27" s="4">
        <v>18</v>
      </c>
      <c r="J27" s="4">
        <v>113</v>
      </c>
      <c r="K27" s="4">
        <v>391</v>
      </c>
      <c r="L27" s="26">
        <f t="shared" si="1"/>
        <v>2.4601769911504423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2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6.1602717405358831E-2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6.9983494360561019E-2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0.13996698872112204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0.10048735294253364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3.8485642019808829E-2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2.6512409036261769E-2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285</v>
      </c>
      <c r="C44" s="4">
        <v>249.71428599999999</v>
      </c>
      <c r="D44" s="26">
        <f t="shared" ref="D44:D55" si="2">ABS(C44/B44-1)</f>
        <v>0.12380952280701762</v>
      </c>
      <c r="E44" s="8"/>
      <c r="F44" s="6" t="s">
        <v>3</v>
      </c>
      <c r="G44" s="24">
        <f>AVERAGE(D52:D54)</f>
        <v>0.11667500811302263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1166</v>
      </c>
      <c r="C45" s="4">
        <v>958.85714299999995</v>
      </c>
      <c r="D45" s="26">
        <f t="shared" si="2"/>
        <v>0.17765253602058328</v>
      </c>
      <c r="E45" s="8"/>
      <c r="F45" s="6" t="s">
        <v>4</v>
      </c>
      <c r="G45" s="24">
        <f>AVERAGE(D55:D57)</f>
        <v>0.2777075427728613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1547</v>
      </c>
      <c r="C46" s="4">
        <v>1386.4285709999999</v>
      </c>
      <c r="D46" s="26">
        <f t="shared" si="2"/>
        <v>0.10379536457659988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1569</v>
      </c>
      <c r="C47" s="4">
        <v>1581</v>
      </c>
      <c r="D47" s="26">
        <f t="shared" si="2"/>
        <v>7.6481835564052858E-3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1495</v>
      </c>
      <c r="C48" s="4">
        <v>1501</v>
      </c>
      <c r="D48" s="26">
        <f t="shared" si="2"/>
        <v>4.0133779264213132E-3</v>
      </c>
      <c r="E48" s="8"/>
      <c r="F48" s="37" t="s">
        <v>18</v>
      </c>
      <c r="G48" s="38">
        <f>SUM(B37:B60)</f>
        <v>13921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1517</v>
      </c>
      <c r="C49" s="4">
        <v>1411</v>
      </c>
      <c r="D49" s="26">
        <f t="shared" si="2"/>
        <v>6.9874752801582063E-2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1469</v>
      </c>
      <c r="C50" s="4">
        <v>1457</v>
      </c>
      <c r="D50" s="26">
        <f t="shared" si="2"/>
        <v>8.1688223281143335E-3</v>
      </c>
      <c r="E50" s="8"/>
      <c r="F50" s="37" t="s">
        <v>19</v>
      </c>
      <c r="G50" s="38">
        <f>SUM(C37:C60)</f>
        <v>13063.428571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1339</v>
      </c>
      <c r="C51" s="4">
        <v>1341</v>
      </c>
      <c r="D51" s="26">
        <f t="shared" si="2"/>
        <v>1.4936519790889058E-3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1461</v>
      </c>
      <c r="C52" s="4">
        <v>1184</v>
      </c>
      <c r="D52" s="26">
        <f t="shared" si="2"/>
        <v>0.18959616700889803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1232</v>
      </c>
      <c r="C53" s="4">
        <v>1092.857143</v>
      </c>
      <c r="D53" s="26">
        <f t="shared" si="2"/>
        <v>0.11294063068181825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728</v>
      </c>
      <c r="C54" s="4">
        <v>693.42857100000003</v>
      </c>
      <c r="D54" s="26">
        <f t="shared" si="2"/>
        <v>4.7488226648351617E-2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113</v>
      </c>
      <c r="C55" s="4">
        <v>207.14285699999999</v>
      </c>
      <c r="D55" s="26">
        <f t="shared" si="2"/>
        <v>0.83312262831858397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127000</xdr:rowOff>
                  </from>
                  <to>
                    <xdr:col>17</xdr:col>
                    <xdr:colOff>101600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58</xdr:row>
                    <xdr:rowOff>127000</xdr:rowOff>
                  </from>
                  <to>
                    <xdr:col>17</xdr:col>
                    <xdr:colOff>114300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C9A2A-7DB0-624C-99FD-AF2CEA9EDE54}">
  <sheetPr codeName="Sheet2">
    <pageSetUpPr fitToPage="1"/>
  </sheetPr>
  <dimension ref="A1:W60"/>
  <sheetViews>
    <sheetView tabSelected="1" zoomScale="62" zoomScaleNormal="110" workbookViewId="0">
      <selection activeCell="AA63" sqref="AA63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7.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7.6640625" style="5" customWidth="1"/>
    <col min="15" max="15" width="10.83203125" style="5"/>
    <col min="16" max="16" width="5.33203125" style="5" customWidth="1"/>
    <col min="17" max="20" width="10.83203125" style="5"/>
    <col min="21" max="21" width="5.6640625" style="5" customWidth="1"/>
    <col min="22" max="22" width="14.83203125" style="5" bestFit="1" customWidth="1"/>
    <col min="23" max="16384" width="10.83203125" style="5"/>
  </cols>
  <sheetData>
    <row r="1" spans="1:23" ht="44" customHeight="1">
      <c r="A1" s="39" t="s">
        <v>20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7" t="s">
        <v>10</v>
      </c>
      <c r="C8" s="7" t="s">
        <v>11</v>
      </c>
      <c r="D8" s="7" t="s">
        <v>12</v>
      </c>
      <c r="E8" s="8"/>
      <c r="F8" s="34" t="s">
        <v>14</v>
      </c>
      <c r="G8" s="36"/>
      <c r="I8" s="22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9">
        <v>0</v>
      </c>
      <c r="B9" s="9">
        <v>0</v>
      </c>
      <c r="C9" s="9">
        <v>0</v>
      </c>
      <c r="D9" s="9">
        <v>0</v>
      </c>
      <c r="E9" s="8"/>
      <c r="F9" s="6" t="s">
        <v>15</v>
      </c>
      <c r="G9" s="28">
        <f>ABS(G22/G20-1)</f>
        <v>4.2531557917124485E-2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3.3346842597270498E-3</v>
      </c>
    </row>
    <row r="10" spans="1:23">
      <c r="A10" s="9">
        <v>1</v>
      </c>
      <c r="B10" s="9">
        <v>0</v>
      </c>
      <c r="C10" s="9">
        <v>0</v>
      </c>
      <c r="D10" s="9">
        <v>0</v>
      </c>
      <c r="E10" s="8"/>
      <c r="F10" s="6" t="s">
        <v>16</v>
      </c>
      <c r="G10" s="24">
        <f>AVERAGE(D9:D32)</f>
        <v>0.10211200669353483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8.4986135290447143E-2</v>
      </c>
    </row>
    <row r="11" spans="1:23">
      <c r="A11" s="9">
        <v>2</v>
      </c>
      <c r="B11" s="9">
        <v>0</v>
      </c>
      <c r="C11" s="9">
        <v>0</v>
      </c>
      <c r="D11" s="9">
        <v>0</v>
      </c>
      <c r="E11" s="8"/>
      <c r="F11" s="6" t="s">
        <v>17</v>
      </c>
      <c r="G11" s="24">
        <f>AVERAGE(D16:D27)</f>
        <v>0.20422401338706966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0.16997227058089429</v>
      </c>
    </row>
    <row r="12" spans="1:23">
      <c r="A12" s="9">
        <v>3</v>
      </c>
      <c r="B12" s="9">
        <v>0</v>
      </c>
      <c r="C12" s="9">
        <v>0</v>
      </c>
      <c r="D12" s="9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9">
        <v>4</v>
      </c>
      <c r="B13" s="9">
        <v>0</v>
      </c>
      <c r="C13" s="9">
        <v>0</v>
      </c>
      <c r="D13" s="9">
        <v>0</v>
      </c>
      <c r="E13" s="8"/>
      <c r="F13" s="11" t="s">
        <v>0</v>
      </c>
      <c r="G13" s="24">
        <f>AVERAGE(D15:D17)</f>
        <v>0.24338439609575538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0.17074023934600843</v>
      </c>
    </row>
    <row r="14" spans="1:23">
      <c r="A14" s="9">
        <v>5</v>
      </c>
      <c r="B14" s="9">
        <v>0</v>
      </c>
      <c r="C14" s="9">
        <v>0</v>
      </c>
      <c r="D14" s="9">
        <v>0</v>
      </c>
      <c r="E14" s="8"/>
      <c r="F14" s="6" t="s">
        <v>1</v>
      </c>
      <c r="G14" s="24">
        <f>AVERAGE(D18:D20)</f>
        <v>0.1462741221737108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8.191130769875625E-2</v>
      </c>
    </row>
    <row r="15" spans="1:23">
      <c r="A15" s="9">
        <v>6</v>
      </c>
      <c r="B15" s="9">
        <v>0</v>
      </c>
      <c r="C15" s="9">
        <v>0</v>
      </c>
      <c r="D15" s="9">
        <v>0</v>
      </c>
      <c r="E15" s="8"/>
      <c r="F15" s="6" t="s">
        <v>2</v>
      </c>
      <c r="G15" s="24">
        <f>AVERAGE(D21:D23)</f>
        <v>3.2639319583190739E-2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3.2639319583190739E-2</v>
      </c>
    </row>
    <row r="16" spans="1:23">
      <c r="A16" s="9">
        <v>7</v>
      </c>
      <c r="B16" s="27">
        <v>26712</v>
      </c>
      <c r="C16" s="27">
        <v>14153</v>
      </c>
      <c r="D16" s="26">
        <f>ABS(C16/B16-1)</f>
        <v>0.47016322252171305</v>
      </c>
      <c r="E16" s="8"/>
      <c r="F16" s="6" t="s">
        <v>3</v>
      </c>
      <c r="G16" s="24">
        <f>AVERAGE(D24:D26)</f>
        <v>0.31137140132266344</v>
      </c>
      <c r="I16" s="4">
        <v>7</v>
      </c>
      <c r="J16" s="4">
        <v>26712</v>
      </c>
      <c r="K16" s="4">
        <v>16410.285714000001</v>
      </c>
      <c r="L16" s="26">
        <f>ABS(K16/J16-1)</f>
        <v>0.38565866599281218</v>
      </c>
      <c r="M16" s="8"/>
      <c r="N16" s="6" t="s">
        <v>3</v>
      </c>
      <c r="O16" s="24">
        <f>AVERAGE(L24:L26)</f>
        <v>0.31137140132266344</v>
      </c>
    </row>
    <row r="17" spans="1:15">
      <c r="A17" s="9">
        <v>8</v>
      </c>
      <c r="B17" s="27">
        <v>67768</v>
      </c>
      <c r="C17" s="27">
        <v>50149</v>
      </c>
      <c r="D17" s="26">
        <f t="shared" ref="D17:D27" si="0">ABS(C17/B17-1)</f>
        <v>0.25998996576555311</v>
      </c>
      <c r="E17" s="8"/>
      <c r="F17" s="6" t="s">
        <v>4</v>
      </c>
      <c r="G17" s="24">
        <f>AVERAGE(D27:D29)</f>
        <v>8.3226814372958355E-2</v>
      </c>
      <c r="I17" s="4">
        <v>8</v>
      </c>
      <c r="J17" s="4">
        <v>67768</v>
      </c>
      <c r="K17" s="4">
        <v>76344.857143000001</v>
      </c>
      <c r="L17" s="26">
        <f t="shared" ref="L17:L27" si="1">ABS(K17/J17-1)</f>
        <v>0.12656205204521309</v>
      </c>
      <c r="M17" s="8"/>
      <c r="N17" s="6" t="s">
        <v>4</v>
      </c>
      <c r="O17" s="24">
        <f>AVERAGE(L27:L29)</f>
        <v>8.3226814372958355E-2</v>
      </c>
    </row>
    <row r="18" spans="1:15">
      <c r="A18" s="9">
        <v>9</v>
      </c>
      <c r="B18" s="27">
        <v>114971</v>
      </c>
      <c r="C18" s="27">
        <v>90361</v>
      </c>
      <c r="D18" s="26">
        <f t="shared" si="0"/>
        <v>0.21405397882944399</v>
      </c>
      <c r="E18" s="8"/>
      <c r="F18" s="8"/>
      <c r="G18" s="12"/>
      <c r="I18" s="4">
        <v>9</v>
      </c>
      <c r="J18" s="4">
        <v>114971</v>
      </c>
      <c r="K18" s="4">
        <v>117381.428571</v>
      </c>
      <c r="L18" s="26">
        <f t="shared" si="1"/>
        <v>2.0965535404580349E-2</v>
      </c>
      <c r="M18" s="8"/>
      <c r="N18" s="8"/>
      <c r="O18" s="12"/>
    </row>
    <row r="19" spans="1:15">
      <c r="A19" s="9">
        <v>10</v>
      </c>
      <c r="B19" s="27">
        <v>159410</v>
      </c>
      <c r="C19" s="27">
        <v>133418</v>
      </c>
      <c r="D19" s="26">
        <f t="shared" si="0"/>
        <v>0.16305125148986888</v>
      </c>
      <c r="E19" s="8"/>
      <c r="F19" s="8"/>
      <c r="G19" s="12"/>
      <c r="I19" s="4">
        <v>10</v>
      </c>
      <c r="J19" s="4">
        <v>159410</v>
      </c>
      <c r="K19" s="4">
        <v>133418</v>
      </c>
      <c r="L19" s="26">
        <f t="shared" si="1"/>
        <v>0.16305125148986888</v>
      </c>
      <c r="M19" s="8"/>
      <c r="N19" s="8"/>
      <c r="O19" s="12"/>
    </row>
    <row r="20" spans="1:15" ht="16" customHeight="1">
      <c r="A20" s="9">
        <v>11</v>
      </c>
      <c r="B20" s="27">
        <v>182024</v>
      </c>
      <c r="C20" s="27">
        <v>170790</v>
      </c>
      <c r="D20" s="26">
        <f t="shared" si="0"/>
        <v>6.1717136201819511E-2</v>
      </c>
      <c r="E20" s="8"/>
      <c r="F20" s="37" t="s">
        <v>18</v>
      </c>
      <c r="G20" s="38">
        <f>SUM(B9:B32)</f>
        <v>1415255</v>
      </c>
      <c r="I20" s="4">
        <v>11</v>
      </c>
      <c r="J20" s="4">
        <v>182024</v>
      </c>
      <c r="K20" s="4">
        <v>170790</v>
      </c>
      <c r="L20" s="26">
        <f t="shared" si="1"/>
        <v>6.1717136201819511E-2</v>
      </c>
      <c r="M20" s="8"/>
      <c r="N20" s="37" t="s">
        <v>18</v>
      </c>
      <c r="O20" s="38">
        <f>SUM(J9:J32)</f>
        <v>1415255</v>
      </c>
    </row>
    <row r="21" spans="1:15">
      <c r="A21" s="9">
        <v>12</v>
      </c>
      <c r="B21" s="27">
        <v>181452</v>
      </c>
      <c r="C21" s="27">
        <v>180334</v>
      </c>
      <c r="D21" s="26">
        <f t="shared" si="0"/>
        <v>6.1614090778828734E-3</v>
      </c>
      <c r="E21" s="8"/>
      <c r="F21" s="37"/>
      <c r="G21" s="38"/>
      <c r="I21" s="4">
        <v>12</v>
      </c>
      <c r="J21" s="4">
        <v>181452</v>
      </c>
      <c r="K21" s="4">
        <v>180334</v>
      </c>
      <c r="L21" s="26">
        <f t="shared" si="1"/>
        <v>6.1614090778828734E-3</v>
      </c>
      <c r="M21" s="8"/>
      <c r="N21" s="37"/>
      <c r="O21" s="38"/>
    </row>
    <row r="22" spans="1:15" ht="16" customHeight="1">
      <c r="A22" s="9">
        <v>13</v>
      </c>
      <c r="B22" s="27">
        <v>182154</v>
      </c>
      <c r="C22" s="27">
        <v>169549</v>
      </c>
      <c r="D22" s="26">
        <f t="shared" si="0"/>
        <v>6.9199688175939023E-2</v>
      </c>
      <c r="E22" s="8"/>
      <c r="F22" s="37" t="s">
        <v>19</v>
      </c>
      <c r="G22" s="38">
        <f>SUM(C9:C32)</f>
        <v>1355062</v>
      </c>
      <c r="I22" s="4">
        <v>13</v>
      </c>
      <c r="J22" s="4">
        <v>182154</v>
      </c>
      <c r="K22" s="4">
        <v>169549</v>
      </c>
      <c r="L22" s="26">
        <f t="shared" si="1"/>
        <v>6.9199688175939023E-2</v>
      </c>
      <c r="M22" s="8"/>
      <c r="N22" s="37" t="s">
        <v>19</v>
      </c>
      <c r="O22" s="38">
        <f>SUM(K9:K32)</f>
        <v>1410535.571428</v>
      </c>
    </row>
    <row r="23" spans="1:15">
      <c r="A23" s="9">
        <v>14</v>
      </c>
      <c r="B23" s="27">
        <v>175778</v>
      </c>
      <c r="C23" s="27">
        <v>171813</v>
      </c>
      <c r="D23" s="26">
        <f t="shared" si="0"/>
        <v>2.2556861495750313E-2</v>
      </c>
      <c r="E23" s="8"/>
      <c r="F23" s="37"/>
      <c r="G23" s="38"/>
      <c r="I23" s="4">
        <v>14</v>
      </c>
      <c r="J23" s="4">
        <v>175778</v>
      </c>
      <c r="K23" s="4">
        <v>171813</v>
      </c>
      <c r="L23" s="26">
        <f t="shared" si="1"/>
        <v>2.2556861495750313E-2</v>
      </c>
      <c r="M23" s="8"/>
      <c r="N23" s="37"/>
      <c r="O23" s="38"/>
    </row>
    <row r="24" spans="1:15">
      <c r="A24" s="9">
        <v>15</v>
      </c>
      <c r="B24" s="27">
        <v>147703</v>
      </c>
      <c r="C24" s="27">
        <v>157004</v>
      </c>
      <c r="D24" s="26">
        <f t="shared" si="0"/>
        <v>6.2970961998063624E-2</v>
      </c>
      <c r="E24" s="8"/>
      <c r="F24" s="8"/>
      <c r="G24" s="12"/>
      <c r="I24" s="4">
        <v>15</v>
      </c>
      <c r="J24" s="4">
        <v>147703</v>
      </c>
      <c r="K24" s="4">
        <v>157004</v>
      </c>
      <c r="L24" s="26">
        <f t="shared" si="1"/>
        <v>6.2970961998063624E-2</v>
      </c>
      <c r="M24" s="8"/>
      <c r="N24" s="8"/>
      <c r="O24" s="12"/>
    </row>
    <row r="25" spans="1:15">
      <c r="A25" s="9">
        <v>16</v>
      </c>
      <c r="B25" s="27">
        <v>121666</v>
      </c>
      <c r="C25" s="27">
        <v>117912</v>
      </c>
      <c r="D25" s="26">
        <f t="shared" si="0"/>
        <v>3.0854963588841544E-2</v>
      </c>
      <c r="E25" s="8"/>
      <c r="F25" s="8"/>
      <c r="G25" s="12"/>
      <c r="I25" s="4">
        <v>16</v>
      </c>
      <c r="J25" s="4">
        <v>121666</v>
      </c>
      <c r="K25" s="4">
        <v>117912</v>
      </c>
      <c r="L25" s="26">
        <f t="shared" si="1"/>
        <v>3.0854963588841544E-2</v>
      </c>
      <c r="M25" s="8"/>
      <c r="N25" s="8"/>
      <c r="O25" s="12"/>
    </row>
    <row r="26" spans="1:15">
      <c r="A26" s="9">
        <v>17</v>
      </c>
      <c r="B26" s="27">
        <v>50923</v>
      </c>
      <c r="C26" s="27">
        <v>93713</v>
      </c>
      <c r="D26" s="26">
        <f t="shared" si="0"/>
        <v>0.84028827838108522</v>
      </c>
      <c r="E26" s="8"/>
      <c r="F26" s="8"/>
      <c r="G26" s="12"/>
      <c r="I26" s="4">
        <v>17</v>
      </c>
      <c r="J26" s="4">
        <v>50923</v>
      </c>
      <c r="K26" s="4">
        <v>93713</v>
      </c>
      <c r="L26" s="26">
        <f t="shared" si="1"/>
        <v>0.84028827838108522</v>
      </c>
      <c r="M26" s="8"/>
      <c r="N26" s="8"/>
      <c r="O26" s="12"/>
    </row>
    <row r="27" spans="1:15">
      <c r="A27" s="9">
        <v>18</v>
      </c>
      <c r="B27" s="27">
        <v>4694</v>
      </c>
      <c r="C27" s="27">
        <v>5866</v>
      </c>
      <c r="D27" s="26">
        <f t="shared" si="0"/>
        <v>0.24968044311887505</v>
      </c>
      <c r="E27" s="8"/>
      <c r="F27" s="8"/>
      <c r="G27" s="12"/>
      <c r="I27" s="4">
        <v>18</v>
      </c>
      <c r="J27" s="4">
        <v>4694</v>
      </c>
      <c r="K27" s="4">
        <v>5866</v>
      </c>
      <c r="L27" s="26">
        <f t="shared" si="1"/>
        <v>0.24968044311887505</v>
      </c>
      <c r="M27" s="8"/>
      <c r="N27" s="8"/>
      <c r="O27" s="12"/>
    </row>
    <row r="28" spans="1:15">
      <c r="A28" s="9">
        <v>19</v>
      </c>
      <c r="B28" s="9">
        <v>0</v>
      </c>
      <c r="C28" s="9">
        <v>0</v>
      </c>
      <c r="D28" s="9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9">
        <v>20</v>
      </c>
      <c r="B29" s="9">
        <v>0</v>
      </c>
      <c r="C29" s="9">
        <v>0</v>
      </c>
      <c r="D29" s="9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9">
        <v>21</v>
      </c>
      <c r="B30" s="9">
        <v>0</v>
      </c>
      <c r="C30" s="9">
        <v>0</v>
      </c>
      <c r="D30" s="9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9">
        <v>22</v>
      </c>
      <c r="B31" s="9">
        <v>0</v>
      </c>
      <c r="C31" s="9">
        <v>0</v>
      </c>
      <c r="D31" s="9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9">
        <v>23</v>
      </c>
      <c r="B32" s="9">
        <v>0</v>
      </c>
      <c r="C32" s="9">
        <v>0</v>
      </c>
      <c r="D32" s="9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7" t="s">
        <v>10</v>
      </c>
      <c r="C36" s="7" t="s">
        <v>11</v>
      </c>
      <c r="D36" s="7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1.7551607308223582E-2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9.1368195878009886E-2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0.18273639175601977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0.17074023934600843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8.191130769875625E-2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3.2639319583190739E-2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26712</v>
      </c>
      <c r="C44" s="4">
        <v>16410.285714000001</v>
      </c>
      <c r="D44" s="26">
        <f>ABS(C44/B44-1)</f>
        <v>0.38565866599281218</v>
      </c>
      <c r="E44" s="8"/>
      <c r="F44" s="6" t="s">
        <v>3</v>
      </c>
      <c r="G44" s="24">
        <f>AVERAGE(D52:D54)</f>
        <v>0.1574245382742662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67768</v>
      </c>
      <c r="C45" s="4">
        <v>76344.857143000001</v>
      </c>
      <c r="D45" s="26">
        <f t="shared" ref="D45:D55" si="2">ABS(C45/B45-1)</f>
        <v>0.12656205204521309</v>
      </c>
      <c r="E45" s="8"/>
      <c r="F45" s="6" t="s">
        <v>4</v>
      </c>
      <c r="G45" s="24">
        <f>AVERAGE(D55:D57)</f>
        <v>0.28823016212185765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114971</v>
      </c>
      <c r="C46" s="4">
        <v>117381.428571</v>
      </c>
      <c r="D46" s="26">
        <f t="shared" si="2"/>
        <v>2.0965535404580349E-2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159410</v>
      </c>
      <c r="C47" s="4">
        <v>133418</v>
      </c>
      <c r="D47" s="26">
        <f t="shared" si="2"/>
        <v>0.16305125148986888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182024</v>
      </c>
      <c r="C48" s="4">
        <v>170790</v>
      </c>
      <c r="D48" s="26">
        <f t="shared" si="2"/>
        <v>6.1717136201819511E-2</v>
      </c>
      <c r="E48" s="8"/>
      <c r="F48" s="37" t="s">
        <v>18</v>
      </c>
      <c r="G48" s="38">
        <f>SUM(B37:B60)</f>
        <v>1415255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181452</v>
      </c>
      <c r="C49" s="4">
        <v>180334</v>
      </c>
      <c r="D49" s="26">
        <f t="shared" si="2"/>
        <v>6.1614090778828734E-3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182154</v>
      </c>
      <c r="C50" s="4">
        <v>169549</v>
      </c>
      <c r="D50" s="26">
        <f t="shared" si="2"/>
        <v>6.9199688175939023E-2</v>
      </c>
      <c r="E50" s="8"/>
      <c r="F50" s="37" t="s">
        <v>19</v>
      </c>
      <c r="G50" s="38">
        <f>SUM(C37:C60)</f>
        <v>1390414.999999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175778</v>
      </c>
      <c r="C51" s="4">
        <v>171813</v>
      </c>
      <c r="D51" s="26">
        <f t="shared" si="2"/>
        <v>2.2556861495750313E-2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147703</v>
      </c>
      <c r="C52" s="4">
        <v>157004</v>
      </c>
      <c r="D52" s="26">
        <f t="shared" si="2"/>
        <v>6.2970961998063624E-2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121666</v>
      </c>
      <c r="C53" s="4">
        <v>118272.142857</v>
      </c>
      <c r="D53" s="26">
        <f t="shared" si="2"/>
        <v>2.7894869092433439E-2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50923</v>
      </c>
      <c r="C54" s="4">
        <v>70345.428570999997</v>
      </c>
      <c r="D54" s="26">
        <f t="shared" si="2"/>
        <v>0.38140778373230155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4694</v>
      </c>
      <c r="C55" s="4">
        <v>8752.8571429999993</v>
      </c>
      <c r="D55" s="26">
        <f t="shared" si="2"/>
        <v>0.86469048636557289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F48:F49"/>
    <mergeCell ref="G48:G49"/>
    <mergeCell ref="F50:F51"/>
    <mergeCell ref="G50:G51"/>
    <mergeCell ref="I7:O7"/>
    <mergeCell ref="A35:G35"/>
    <mergeCell ref="F8:G8"/>
    <mergeCell ref="N8:O8"/>
    <mergeCell ref="F36:G36"/>
    <mergeCell ref="A1:O1"/>
    <mergeCell ref="F22:F23"/>
    <mergeCell ref="F20:F21"/>
    <mergeCell ref="G20:G21"/>
    <mergeCell ref="G22:G23"/>
    <mergeCell ref="N20:N21"/>
    <mergeCell ref="O20:O21"/>
    <mergeCell ref="N22:N23"/>
    <mergeCell ref="O22:O23"/>
    <mergeCell ref="A7:G7"/>
    <mergeCell ref="F3:I3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165100</xdr:rowOff>
                  </from>
                  <to>
                    <xdr:col>17</xdr:col>
                    <xdr:colOff>101600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165100</xdr:rowOff>
                  </from>
                  <to>
                    <xdr:col>17</xdr:col>
                    <xdr:colOff>101600</xdr:colOff>
                    <xdr:row>59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84586-282C-694C-A0DE-56E9372D8767}">
  <sheetPr codeName="Sheet3">
    <pageSetUpPr fitToPage="1"/>
  </sheetPr>
  <dimension ref="A1:W60"/>
  <sheetViews>
    <sheetView zoomScale="77" zoomScaleNormal="110" workbookViewId="0">
      <selection activeCell="O9" sqref="N9:O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5.3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23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7" t="s">
        <v>10</v>
      </c>
      <c r="K8" s="7" t="s">
        <v>11</v>
      </c>
      <c r="L8" s="7" t="s">
        <v>12</v>
      </c>
      <c r="M8" s="8"/>
      <c r="N8" s="34" t="s">
        <v>14</v>
      </c>
      <c r="O8" s="36"/>
    </row>
    <row r="9" spans="1:23">
      <c r="A9" s="3">
        <v>0</v>
      </c>
      <c r="B9" s="3">
        <v>40</v>
      </c>
      <c r="C9" s="3">
        <v>0</v>
      </c>
      <c r="D9" s="26">
        <f>ABS(C9/B9-1)</f>
        <v>1</v>
      </c>
      <c r="E9" s="8"/>
      <c r="F9" s="6" t="s">
        <v>15</v>
      </c>
      <c r="G9" s="28">
        <f>ABS(G22/G20-1)</f>
        <v>2.5870736355587565E-2</v>
      </c>
      <c r="I9" s="3">
        <v>0</v>
      </c>
      <c r="J9" s="3">
        <v>40</v>
      </c>
      <c r="K9" s="3">
        <v>0</v>
      </c>
      <c r="L9" s="26">
        <f>ABS(K9/J9-1)</f>
        <v>1</v>
      </c>
      <c r="M9" s="8"/>
      <c r="N9" s="6" t="s">
        <v>15</v>
      </c>
      <c r="O9" s="28">
        <f>ABS(O22/O20-1)</f>
        <v>3.8951879319917726E-2</v>
      </c>
    </row>
    <row r="10" spans="1:23">
      <c r="A10" s="3">
        <v>1</v>
      </c>
      <c r="B10" s="3">
        <v>40</v>
      </c>
      <c r="C10" s="3">
        <v>0</v>
      </c>
      <c r="D10" s="26">
        <f t="shared" ref="D10:D32" si="0">ABS(C10/B10-1)</f>
        <v>1</v>
      </c>
      <c r="E10" s="8"/>
      <c r="F10" s="6" t="s">
        <v>16</v>
      </c>
      <c r="G10" s="24">
        <f>AVERAGE(D9:D32)</f>
        <v>0.53941946262859297</v>
      </c>
      <c r="I10" s="3">
        <v>1</v>
      </c>
      <c r="J10" s="3">
        <v>40</v>
      </c>
      <c r="K10" s="3">
        <v>0</v>
      </c>
      <c r="L10" s="26">
        <f t="shared" ref="L10:L32" si="1">ABS(K10/J10-1)</f>
        <v>1</v>
      </c>
      <c r="M10" s="8"/>
      <c r="N10" s="6" t="s">
        <v>16</v>
      </c>
      <c r="O10" s="24">
        <f>AVERAGE(L9:L32)</f>
        <v>0.53393239061025266</v>
      </c>
    </row>
    <row r="11" spans="1:23">
      <c r="A11" s="3">
        <v>2</v>
      </c>
      <c r="B11" s="3">
        <v>20</v>
      </c>
      <c r="C11" s="3">
        <v>0</v>
      </c>
      <c r="D11" s="26">
        <f t="shared" si="0"/>
        <v>1</v>
      </c>
      <c r="E11" s="8"/>
      <c r="F11" s="6" t="s">
        <v>17</v>
      </c>
      <c r="G11" s="24">
        <f>AVERAGE(D16:D27)</f>
        <v>0.41217225859051926</v>
      </c>
      <c r="I11" s="3">
        <v>2</v>
      </c>
      <c r="J11" s="3">
        <v>20</v>
      </c>
      <c r="K11" s="3">
        <v>0</v>
      </c>
      <c r="L11" s="26">
        <f t="shared" si="1"/>
        <v>1</v>
      </c>
      <c r="M11" s="8"/>
      <c r="N11" s="6" t="s">
        <v>17</v>
      </c>
      <c r="O11" s="24">
        <f>AVERAGE(L16:L27)</f>
        <v>0.40119811455383858</v>
      </c>
    </row>
    <row r="12" spans="1:23">
      <c r="A12" s="3">
        <v>3</v>
      </c>
      <c r="B12" s="3">
        <v>0</v>
      </c>
      <c r="C12" s="3">
        <v>0</v>
      </c>
      <c r="D12" s="26">
        <v>0</v>
      </c>
      <c r="E12" s="8"/>
      <c r="F12" s="10"/>
      <c r="G12" s="25"/>
      <c r="I12" s="3">
        <v>3</v>
      </c>
      <c r="J12" s="3">
        <v>0</v>
      </c>
      <c r="K12" s="3">
        <v>0</v>
      </c>
      <c r="L12" s="26">
        <v>0</v>
      </c>
      <c r="M12" s="8"/>
      <c r="N12" s="10"/>
      <c r="O12" s="25"/>
    </row>
    <row r="13" spans="1:23">
      <c r="A13" s="3">
        <v>4</v>
      </c>
      <c r="B13" s="3">
        <v>0</v>
      </c>
      <c r="C13" s="3">
        <v>0</v>
      </c>
      <c r="D13" s="26">
        <v>0</v>
      </c>
      <c r="E13" s="8"/>
      <c r="F13" s="11" t="s">
        <v>0</v>
      </c>
      <c r="G13" s="24">
        <f>AVERAGE(D15:D17)</f>
        <v>0.28167414308718658</v>
      </c>
      <c r="I13" s="3">
        <v>4</v>
      </c>
      <c r="J13" s="3">
        <v>0</v>
      </c>
      <c r="K13" s="3">
        <v>0</v>
      </c>
      <c r="L13" s="26">
        <v>0</v>
      </c>
      <c r="M13" s="8"/>
      <c r="N13" s="11" t="s">
        <v>0</v>
      </c>
      <c r="O13" s="24">
        <f>AVERAGE(L15:L17)</f>
        <v>8.4473282263630114E-2</v>
      </c>
    </row>
    <row r="14" spans="1:23">
      <c r="A14" s="3">
        <v>5</v>
      </c>
      <c r="B14" s="3">
        <v>0</v>
      </c>
      <c r="C14" s="3">
        <v>0</v>
      </c>
      <c r="D14" s="26">
        <v>0</v>
      </c>
      <c r="E14" s="8"/>
      <c r="F14" s="6" t="s">
        <v>1</v>
      </c>
      <c r="G14" s="24">
        <f>AVERAGE(D18:D20)</f>
        <v>0.18417448780864562</v>
      </c>
      <c r="I14" s="3">
        <v>5</v>
      </c>
      <c r="J14" s="3">
        <v>0</v>
      </c>
      <c r="K14" s="3">
        <v>0</v>
      </c>
      <c r="L14" s="26">
        <v>0</v>
      </c>
      <c r="M14" s="8"/>
      <c r="N14" s="6" t="s">
        <v>1</v>
      </c>
      <c r="O14" s="24">
        <f>AVERAGE(L18:L20)</f>
        <v>0.33747877248547931</v>
      </c>
    </row>
    <row r="15" spans="1:23">
      <c r="A15" s="3">
        <v>6</v>
      </c>
      <c r="B15" s="3">
        <v>0</v>
      </c>
      <c r="C15" s="3">
        <v>0</v>
      </c>
      <c r="D15" s="26">
        <v>0</v>
      </c>
      <c r="E15" s="8"/>
      <c r="F15" s="6" t="s">
        <v>2</v>
      </c>
      <c r="G15" s="24">
        <f>AVERAGE(D21:D23)</f>
        <v>0.25854238565246584</v>
      </c>
      <c r="I15" s="3">
        <v>6</v>
      </c>
      <c r="J15" s="3">
        <v>0</v>
      </c>
      <c r="K15" s="3">
        <v>0</v>
      </c>
      <c r="L15" s="26">
        <v>0</v>
      </c>
      <c r="M15" s="8"/>
      <c r="N15" s="6" t="s">
        <v>2</v>
      </c>
      <c r="O15" s="24">
        <f>AVERAGE(L21:L23)</f>
        <v>0.25854238565246584</v>
      </c>
    </row>
    <row r="16" spans="1:23">
      <c r="A16" s="3">
        <v>7</v>
      </c>
      <c r="B16" s="3">
        <v>483</v>
      </c>
      <c r="C16" s="3">
        <v>604</v>
      </c>
      <c r="D16" s="26">
        <f t="shared" si="0"/>
        <v>0.25051759834368537</v>
      </c>
      <c r="E16" s="8"/>
      <c r="F16" s="6" t="s">
        <v>3</v>
      </c>
      <c r="G16" s="24">
        <f>AVERAGE(D24:D26)</f>
        <v>0.59096468448044559</v>
      </c>
      <c r="I16" s="3">
        <v>7</v>
      </c>
      <c r="J16" s="3">
        <v>483</v>
      </c>
      <c r="K16" s="3">
        <v>564.71428600000002</v>
      </c>
      <c r="L16" s="26">
        <f t="shared" si="1"/>
        <v>0.16918071635610765</v>
      </c>
      <c r="M16" s="8"/>
      <c r="N16" s="6" t="s">
        <v>3</v>
      </c>
      <c r="O16" s="24">
        <f>AVERAGE(L24:L26)</f>
        <v>0.59096468448044559</v>
      </c>
    </row>
    <row r="17" spans="1:15">
      <c r="A17" s="3">
        <v>8</v>
      </c>
      <c r="B17" s="3">
        <v>3312</v>
      </c>
      <c r="C17" s="3">
        <v>1343</v>
      </c>
      <c r="D17" s="26">
        <f t="shared" si="0"/>
        <v>0.59450483091787443</v>
      </c>
      <c r="E17" s="8"/>
      <c r="F17" s="6" t="s">
        <v>4</v>
      </c>
      <c r="G17" s="24">
        <f>AVERAGE(D27:D29)</f>
        <v>1</v>
      </c>
      <c r="I17" s="3">
        <v>8</v>
      </c>
      <c r="J17" s="3">
        <v>3312</v>
      </c>
      <c r="K17" s="3">
        <v>3591</v>
      </c>
      <c r="L17" s="26">
        <f t="shared" si="1"/>
        <v>8.4239130434782705E-2</v>
      </c>
      <c r="M17" s="8"/>
      <c r="N17" s="6" t="s">
        <v>4</v>
      </c>
      <c r="O17" s="24">
        <f>AVERAGE(L27:L29)</f>
        <v>1</v>
      </c>
    </row>
    <row r="18" spans="1:15">
      <c r="A18" s="3">
        <v>9</v>
      </c>
      <c r="B18" s="3">
        <v>4590</v>
      </c>
      <c r="C18" s="3">
        <v>5128</v>
      </c>
      <c r="D18" s="26">
        <f t="shared" si="0"/>
        <v>0.11721132897603481</v>
      </c>
      <c r="E18" s="8"/>
      <c r="F18" s="8"/>
      <c r="G18" s="12"/>
      <c r="I18" s="3">
        <v>9</v>
      </c>
      <c r="J18" s="3">
        <v>4590</v>
      </c>
      <c r="K18" s="3">
        <v>7239</v>
      </c>
      <c r="L18" s="26">
        <f t="shared" si="1"/>
        <v>0.5771241830065359</v>
      </c>
      <c r="M18" s="8"/>
      <c r="N18" s="8"/>
      <c r="O18" s="12"/>
    </row>
    <row r="19" spans="1:15">
      <c r="A19" s="3">
        <v>10</v>
      </c>
      <c r="B19" s="3">
        <v>5533</v>
      </c>
      <c r="C19" s="3">
        <v>5321</v>
      </c>
      <c r="D19" s="26">
        <f t="shared" si="0"/>
        <v>3.8315561178384194E-2</v>
      </c>
      <c r="E19" s="8"/>
      <c r="F19" s="8"/>
      <c r="G19" s="12"/>
      <c r="I19" s="3">
        <v>10</v>
      </c>
      <c r="J19" s="3">
        <v>5533</v>
      </c>
      <c r="K19" s="3">
        <v>5321</v>
      </c>
      <c r="L19" s="26">
        <f t="shared" si="1"/>
        <v>3.8315561178384194E-2</v>
      </c>
      <c r="M19" s="8"/>
      <c r="N19" s="8"/>
      <c r="O19" s="12"/>
    </row>
    <row r="20" spans="1:15" ht="16" customHeight="1">
      <c r="A20" s="3">
        <v>11</v>
      </c>
      <c r="B20" s="3">
        <v>9922</v>
      </c>
      <c r="C20" s="3">
        <v>5983</v>
      </c>
      <c r="D20" s="26">
        <f t="shared" si="0"/>
        <v>0.39699657327151783</v>
      </c>
      <c r="E20" s="8"/>
      <c r="F20" s="37" t="s">
        <v>18</v>
      </c>
      <c r="G20" s="38">
        <f>SUM(B9:B32)</f>
        <v>66639</v>
      </c>
      <c r="I20" s="3">
        <v>11</v>
      </c>
      <c r="J20" s="3">
        <v>9922</v>
      </c>
      <c r="K20" s="3">
        <v>5983</v>
      </c>
      <c r="L20" s="26">
        <f t="shared" si="1"/>
        <v>0.39699657327151783</v>
      </c>
      <c r="M20" s="8"/>
      <c r="N20" s="37" t="s">
        <v>18</v>
      </c>
      <c r="O20" s="38">
        <f>SUM(J9:J32)</f>
        <v>66639</v>
      </c>
    </row>
    <row r="21" spans="1:15">
      <c r="A21" s="3">
        <v>12</v>
      </c>
      <c r="B21" s="3">
        <v>10323</v>
      </c>
      <c r="C21" s="3">
        <v>11906</v>
      </c>
      <c r="D21" s="26">
        <f t="shared" si="0"/>
        <v>0.1533468952823791</v>
      </c>
      <c r="E21" s="8"/>
      <c r="F21" s="37"/>
      <c r="G21" s="38"/>
      <c r="I21" s="3">
        <v>12</v>
      </c>
      <c r="J21" s="3">
        <v>10323</v>
      </c>
      <c r="K21" s="3">
        <v>11906</v>
      </c>
      <c r="L21" s="26">
        <f t="shared" si="1"/>
        <v>0.1533468952823791</v>
      </c>
      <c r="M21" s="8"/>
      <c r="N21" s="37"/>
      <c r="O21" s="38"/>
    </row>
    <row r="22" spans="1:15" ht="16" customHeight="1">
      <c r="A22" s="3">
        <v>13</v>
      </c>
      <c r="B22" s="3">
        <v>7155</v>
      </c>
      <c r="C22" s="3">
        <v>9792</v>
      </c>
      <c r="D22" s="26">
        <f t="shared" si="0"/>
        <v>0.36855345911949677</v>
      </c>
      <c r="E22" s="8"/>
      <c r="F22" s="37" t="s">
        <v>19</v>
      </c>
      <c r="G22" s="38">
        <f>SUM(C9:C32)</f>
        <v>64915</v>
      </c>
      <c r="I22" s="3">
        <v>13</v>
      </c>
      <c r="J22" s="3">
        <v>7155</v>
      </c>
      <c r="K22" s="3">
        <v>9792</v>
      </c>
      <c r="L22" s="26">
        <f t="shared" si="1"/>
        <v>0.36855345911949677</v>
      </c>
      <c r="M22" s="8"/>
      <c r="N22" s="37" t="s">
        <v>19</v>
      </c>
      <c r="O22" s="38">
        <f>SUM(K9:K32)</f>
        <v>69234.714286000002</v>
      </c>
    </row>
    <row r="23" spans="1:15">
      <c r="A23" s="3">
        <v>14</v>
      </c>
      <c r="B23" s="3">
        <v>6574</v>
      </c>
      <c r="C23" s="3">
        <v>4906</v>
      </c>
      <c r="D23" s="26">
        <f t="shared" si="0"/>
        <v>0.25372680255552171</v>
      </c>
      <c r="E23" s="8"/>
      <c r="F23" s="37"/>
      <c r="G23" s="38"/>
      <c r="I23" s="3">
        <v>14</v>
      </c>
      <c r="J23" s="3">
        <v>6574</v>
      </c>
      <c r="K23" s="3">
        <v>4906</v>
      </c>
      <c r="L23" s="26">
        <f t="shared" si="1"/>
        <v>0.25372680255552171</v>
      </c>
      <c r="M23" s="8"/>
      <c r="N23" s="37"/>
      <c r="O23" s="38"/>
    </row>
    <row r="24" spans="1:15">
      <c r="A24" s="3">
        <v>15</v>
      </c>
      <c r="B24" s="3">
        <v>9176</v>
      </c>
      <c r="C24" s="3">
        <v>5960</v>
      </c>
      <c r="D24" s="26">
        <f t="shared" si="0"/>
        <v>0.35047951176983438</v>
      </c>
      <c r="E24" s="8"/>
      <c r="F24" s="8"/>
      <c r="G24" s="12"/>
      <c r="I24" s="3">
        <v>15</v>
      </c>
      <c r="J24" s="3">
        <v>9176</v>
      </c>
      <c r="K24" s="3">
        <v>5960</v>
      </c>
      <c r="L24" s="26">
        <f t="shared" si="1"/>
        <v>0.35047951176983438</v>
      </c>
      <c r="M24" s="8"/>
      <c r="N24" s="8"/>
      <c r="O24" s="12"/>
    </row>
    <row r="25" spans="1:15">
      <c r="A25" s="3">
        <v>16</v>
      </c>
      <c r="B25" s="3">
        <v>6691</v>
      </c>
      <c r="C25" s="3">
        <v>9751</v>
      </c>
      <c r="D25" s="26">
        <f t="shared" si="0"/>
        <v>0.45733074278882091</v>
      </c>
      <c r="E25" s="8"/>
      <c r="F25" s="8"/>
      <c r="G25" s="12"/>
      <c r="I25" s="3">
        <v>16</v>
      </c>
      <c r="J25" s="3">
        <v>6691</v>
      </c>
      <c r="K25" s="3">
        <v>9751</v>
      </c>
      <c r="L25" s="26">
        <f t="shared" si="1"/>
        <v>0.45733074278882091</v>
      </c>
      <c r="M25" s="8"/>
      <c r="N25" s="8"/>
      <c r="O25" s="12"/>
    </row>
    <row r="26" spans="1:15">
      <c r="A26" s="3">
        <v>17</v>
      </c>
      <c r="B26" s="3">
        <v>2148</v>
      </c>
      <c r="C26" s="3">
        <v>4221</v>
      </c>
      <c r="D26" s="26">
        <f t="shared" si="0"/>
        <v>0.96508379888268148</v>
      </c>
      <c r="E26" s="8"/>
      <c r="F26" s="8"/>
      <c r="G26" s="12"/>
      <c r="I26" s="3">
        <v>17</v>
      </c>
      <c r="J26" s="3">
        <v>2148</v>
      </c>
      <c r="K26" s="3">
        <v>4221</v>
      </c>
      <c r="L26" s="26">
        <f t="shared" si="1"/>
        <v>0.96508379888268148</v>
      </c>
      <c r="M26" s="8"/>
      <c r="N26" s="8"/>
      <c r="O26" s="12"/>
    </row>
    <row r="27" spans="1:15">
      <c r="A27" s="3">
        <v>18</v>
      </c>
      <c r="B27" s="3">
        <v>412</v>
      </c>
      <c r="C27" s="3">
        <v>0</v>
      </c>
      <c r="D27" s="26">
        <f t="shared" si="0"/>
        <v>1</v>
      </c>
      <c r="E27" s="8"/>
      <c r="F27" s="8"/>
      <c r="G27" s="12"/>
      <c r="I27" s="3">
        <v>18</v>
      </c>
      <c r="J27" s="3">
        <v>412</v>
      </c>
      <c r="K27" s="3">
        <v>0</v>
      </c>
      <c r="L27" s="26">
        <f t="shared" si="1"/>
        <v>1</v>
      </c>
      <c r="M27" s="8"/>
      <c r="N27" s="8"/>
      <c r="O27" s="12"/>
    </row>
    <row r="28" spans="1:15">
      <c r="A28" s="3">
        <v>19</v>
      </c>
      <c r="B28" s="3">
        <v>44</v>
      </c>
      <c r="C28" s="3">
        <v>0</v>
      </c>
      <c r="D28" s="26">
        <f t="shared" si="0"/>
        <v>1</v>
      </c>
      <c r="E28" s="8"/>
      <c r="F28" s="8"/>
      <c r="G28" s="12"/>
      <c r="I28" s="3">
        <v>19</v>
      </c>
      <c r="J28" s="3">
        <v>44</v>
      </c>
      <c r="K28" s="3">
        <v>0</v>
      </c>
      <c r="L28" s="26">
        <f t="shared" si="1"/>
        <v>1</v>
      </c>
      <c r="M28" s="8"/>
      <c r="N28" s="8"/>
      <c r="O28" s="12"/>
    </row>
    <row r="29" spans="1:15">
      <c r="A29" s="3">
        <v>20</v>
      </c>
      <c r="B29" s="3">
        <v>44</v>
      </c>
      <c r="C29" s="3">
        <v>0</v>
      </c>
      <c r="D29" s="26">
        <f t="shared" si="0"/>
        <v>1</v>
      </c>
      <c r="E29" s="8"/>
      <c r="F29" s="8"/>
      <c r="G29" s="12"/>
      <c r="I29" s="3">
        <v>20</v>
      </c>
      <c r="J29" s="3">
        <v>44</v>
      </c>
      <c r="K29" s="3">
        <v>0</v>
      </c>
      <c r="L29" s="26">
        <f t="shared" si="1"/>
        <v>1</v>
      </c>
      <c r="M29" s="8"/>
      <c r="N29" s="8"/>
      <c r="O29" s="12"/>
    </row>
    <row r="30" spans="1:15">
      <c r="A30" s="3">
        <v>21</v>
      </c>
      <c r="B30" s="3">
        <v>44</v>
      </c>
      <c r="C30" s="3">
        <v>0</v>
      </c>
      <c r="D30" s="26">
        <f t="shared" si="0"/>
        <v>1</v>
      </c>
      <c r="E30" s="8"/>
      <c r="F30" s="8"/>
      <c r="G30" s="12"/>
      <c r="I30" s="3">
        <v>21</v>
      </c>
      <c r="J30" s="3">
        <v>44</v>
      </c>
      <c r="K30" s="3">
        <v>0</v>
      </c>
      <c r="L30" s="26">
        <f t="shared" si="1"/>
        <v>1</v>
      </c>
      <c r="M30" s="8"/>
      <c r="N30" s="8"/>
      <c r="O30" s="12"/>
    </row>
    <row r="31" spans="1:15">
      <c r="A31" s="3">
        <v>22</v>
      </c>
      <c r="B31" s="3">
        <v>44</v>
      </c>
      <c r="C31" s="3">
        <v>0</v>
      </c>
      <c r="D31" s="26">
        <f t="shared" si="0"/>
        <v>1</v>
      </c>
      <c r="E31" s="8"/>
      <c r="F31" s="8"/>
      <c r="G31" s="12"/>
      <c r="I31" s="3">
        <v>22</v>
      </c>
      <c r="J31" s="3">
        <v>44</v>
      </c>
      <c r="K31" s="3">
        <v>0</v>
      </c>
      <c r="L31" s="26">
        <f t="shared" si="1"/>
        <v>1</v>
      </c>
      <c r="M31" s="8"/>
      <c r="N31" s="8"/>
      <c r="O31" s="12"/>
    </row>
    <row r="32" spans="1:15">
      <c r="A32" s="3">
        <v>23</v>
      </c>
      <c r="B32" s="3">
        <v>44</v>
      </c>
      <c r="C32" s="3">
        <v>0</v>
      </c>
      <c r="D32" s="26">
        <f t="shared" si="0"/>
        <v>1</v>
      </c>
      <c r="E32" s="13"/>
      <c r="F32" s="13"/>
      <c r="G32" s="14"/>
      <c r="I32" s="3">
        <v>23</v>
      </c>
      <c r="J32" s="3">
        <v>44</v>
      </c>
      <c r="K32" s="3">
        <v>0</v>
      </c>
      <c r="L32" s="26">
        <f t="shared" si="1"/>
        <v>1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3">
        <v>0</v>
      </c>
      <c r="B37" s="3">
        <v>40</v>
      </c>
      <c r="C37" s="3">
        <v>0</v>
      </c>
      <c r="D37" s="26">
        <f t="shared" ref="D37:D60" si="2">ABS(C37/B37-1)</f>
        <v>1</v>
      </c>
      <c r="E37" s="8"/>
      <c r="F37" s="6" t="s">
        <v>15</v>
      </c>
      <c r="G37" s="28">
        <f>ABS(G50/G48-1)</f>
        <v>1.4740402977235556E-2</v>
      </c>
      <c r="I37" s="19"/>
      <c r="J37" s="8"/>
      <c r="K37" s="8"/>
      <c r="L37" s="8"/>
      <c r="M37" s="8"/>
      <c r="N37" s="8"/>
      <c r="O37" s="12"/>
    </row>
    <row r="38" spans="1:15">
      <c r="A38" s="3">
        <v>1</v>
      </c>
      <c r="B38" s="3">
        <v>40</v>
      </c>
      <c r="C38" s="3">
        <v>0</v>
      </c>
      <c r="D38" s="26">
        <f t="shared" si="2"/>
        <v>1</v>
      </c>
      <c r="E38" s="8"/>
      <c r="F38" s="6" t="s">
        <v>16</v>
      </c>
      <c r="G38" s="24">
        <f>AVERAGE(D37:D60)</f>
        <v>0.49829431279912795</v>
      </c>
      <c r="I38" s="19"/>
      <c r="J38" s="8"/>
      <c r="K38" s="8"/>
      <c r="L38" s="8"/>
      <c r="M38" s="8"/>
      <c r="N38" s="8"/>
      <c r="O38" s="12"/>
    </row>
    <row r="39" spans="1:15">
      <c r="A39" s="3">
        <v>2</v>
      </c>
      <c r="B39" s="3">
        <v>20</v>
      </c>
      <c r="C39" s="3">
        <v>0</v>
      </c>
      <c r="D39" s="26">
        <f t="shared" si="2"/>
        <v>1</v>
      </c>
      <c r="E39" s="8"/>
      <c r="F39" s="6" t="s">
        <v>17</v>
      </c>
      <c r="G39" s="24">
        <f>AVERAGE(D44:D55)</f>
        <v>0.32992195893158938</v>
      </c>
      <c r="I39" s="19"/>
      <c r="J39" s="8"/>
      <c r="K39" s="8"/>
      <c r="L39" s="8"/>
      <c r="M39" s="8"/>
      <c r="N39" s="8"/>
      <c r="O39" s="12"/>
    </row>
    <row r="40" spans="1:15">
      <c r="A40" s="3">
        <v>3</v>
      </c>
      <c r="B40" s="3">
        <v>0</v>
      </c>
      <c r="C40" s="3">
        <v>0</v>
      </c>
      <c r="D40" s="26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3">
        <v>4</v>
      </c>
      <c r="B41" s="3">
        <v>0</v>
      </c>
      <c r="C41" s="3">
        <v>0</v>
      </c>
      <c r="D41" s="26">
        <v>0</v>
      </c>
      <c r="E41" s="8"/>
      <c r="F41" s="11" t="s">
        <v>0</v>
      </c>
      <c r="G41" s="24">
        <f>AVERAGE(D43:D45)</f>
        <v>8.4473282263630114E-2</v>
      </c>
      <c r="I41" s="19"/>
      <c r="J41" s="8"/>
      <c r="K41" s="8"/>
      <c r="L41" s="8"/>
      <c r="M41" s="8"/>
      <c r="N41" s="8"/>
      <c r="O41" s="12"/>
    </row>
    <row r="42" spans="1:15">
      <c r="A42" s="3">
        <v>5</v>
      </c>
      <c r="B42" s="3">
        <v>0</v>
      </c>
      <c r="C42" s="3">
        <v>0</v>
      </c>
      <c r="D42" s="26">
        <v>0</v>
      </c>
      <c r="E42" s="8"/>
      <c r="F42" s="6" t="s">
        <v>1</v>
      </c>
      <c r="G42" s="24">
        <f>AVERAGE(D46:D48)</f>
        <v>0.33747877248547931</v>
      </c>
      <c r="I42" s="19"/>
      <c r="J42" s="8"/>
      <c r="K42" s="8"/>
      <c r="L42" s="8"/>
      <c r="M42" s="8"/>
      <c r="N42" s="8"/>
      <c r="O42" s="12"/>
    </row>
    <row r="43" spans="1:15">
      <c r="A43" s="3">
        <v>6</v>
      </c>
      <c r="B43" s="3">
        <v>0</v>
      </c>
      <c r="C43" s="3">
        <v>0</v>
      </c>
      <c r="D43" s="26">
        <v>0</v>
      </c>
      <c r="E43" s="8"/>
      <c r="F43" s="6" t="s">
        <v>2</v>
      </c>
      <c r="G43" s="24">
        <f>AVERAGE(D49:D51)</f>
        <v>0.25854238565246584</v>
      </c>
      <c r="I43" s="19"/>
      <c r="J43" s="8"/>
      <c r="K43" s="8"/>
      <c r="L43" s="8"/>
      <c r="M43" s="8"/>
      <c r="N43" s="8"/>
      <c r="O43" s="12"/>
    </row>
    <row r="44" spans="1:15">
      <c r="A44" s="3">
        <v>7</v>
      </c>
      <c r="B44" s="3">
        <v>483</v>
      </c>
      <c r="C44" s="3">
        <v>564.71428600000002</v>
      </c>
      <c r="D44" s="26">
        <f t="shared" si="2"/>
        <v>0.16918071635610765</v>
      </c>
      <c r="E44" s="8"/>
      <c r="F44" s="6" t="s">
        <v>3</v>
      </c>
      <c r="G44" s="24">
        <f>AVERAGE(D52:D54)</f>
        <v>0.34226782898174024</v>
      </c>
      <c r="I44" s="19"/>
      <c r="J44" s="8"/>
      <c r="K44" s="8"/>
      <c r="L44" s="8"/>
      <c r="M44" s="8"/>
      <c r="N44" s="8"/>
      <c r="O44" s="12"/>
    </row>
    <row r="45" spans="1:15">
      <c r="A45" s="3">
        <v>8</v>
      </c>
      <c r="B45" s="3">
        <v>3312</v>
      </c>
      <c r="C45" s="3">
        <v>3591</v>
      </c>
      <c r="D45" s="26">
        <f t="shared" si="2"/>
        <v>8.4239130434782705E-2</v>
      </c>
      <c r="E45" s="8"/>
      <c r="F45" s="6" t="s">
        <v>4</v>
      </c>
      <c r="G45" s="24">
        <f>AVERAGE(D55:D57)</f>
        <v>0.96359223300970864</v>
      </c>
      <c r="I45" s="19"/>
      <c r="J45" s="8"/>
      <c r="K45" s="8"/>
      <c r="L45" s="8"/>
      <c r="M45" s="8"/>
      <c r="N45" s="8"/>
      <c r="O45" s="12"/>
    </row>
    <row r="46" spans="1:15">
      <c r="A46" s="3">
        <v>9</v>
      </c>
      <c r="B46" s="3">
        <v>4590</v>
      </c>
      <c r="C46" s="3">
        <v>7239</v>
      </c>
      <c r="D46" s="26">
        <f t="shared" si="2"/>
        <v>0.5771241830065359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3">
        <v>10</v>
      </c>
      <c r="B47" s="3">
        <v>5533</v>
      </c>
      <c r="C47" s="3">
        <v>5321</v>
      </c>
      <c r="D47" s="26">
        <f t="shared" si="2"/>
        <v>3.8315561178384194E-2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3">
        <v>11</v>
      </c>
      <c r="B48" s="3">
        <v>9922</v>
      </c>
      <c r="C48" s="3">
        <v>5983</v>
      </c>
      <c r="D48" s="26">
        <f t="shared" si="2"/>
        <v>0.39699657327151783</v>
      </c>
      <c r="E48" s="8"/>
      <c r="F48" s="37" t="s">
        <v>18</v>
      </c>
      <c r="G48" s="38">
        <f>SUM(B37:B60)</f>
        <v>66639</v>
      </c>
      <c r="I48" s="19"/>
      <c r="J48" s="8"/>
      <c r="K48" s="8"/>
      <c r="L48" s="8"/>
      <c r="M48" s="8"/>
      <c r="N48" s="8"/>
      <c r="O48" s="12"/>
    </row>
    <row r="49" spans="1:15">
      <c r="A49" s="3">
        <v>12</v>
      </c>
      <c r="B49" s="3">
        <v>10323</v>
      </c>
      <c r="C49" s="3">
        <v>11906</v>
      </c>
      <c r="D49" s="26">
        <f t="shared" si="2"/>
        <v>0.1533468952823791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3">
        <v>13</v>
      </c>
      <c r="B50" s="3">
        <v>7155</v>
      </c>
      <c r="C50" s="3">
        <v>9792</v>
      </c>
      <c r="D50" s="26">
        <f t="shared" si="2"/>
        <v>0.36855345911949677</v>
      </c>
      <c r="E50" s="8"/>
      <c r="F50" s="37" t="s">
        <v>19</v>
      </c>
      <c r="G50" s="38">
        <f>SUM(C37:C60)</f>
        <v>65656.714286000002</v>
      </c>
      <c r="I50" s="19"/>
      <c r="J50" s="8"/>
      <c r="K50" s="8"/>
      <c r="L50" s="8"/>
      <c r="M50" s="8"/>
      <c r="N50" s="8"/>
      <c r="O50" s="12"/>
    </row>
    <row r="51" spans="1:15">
      <c r="A51" s="3">
        <v>14</v>
      </c>
      <c r="B51" s="3">
        <v>6574</v>
      </c>
      <c r="C51" s="3">
        <v>4906</v>
      </c>
      <c r="D51" s="26">
        <f t="shared" si="2"/>
        <v>0.25372680255552171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3">
        <v>15</v>
      </c>
      <c r="B52" s="3">
        <v>9176</v>
      </c>
      <c r="C52" s="3">
        <v>5960</v>
      </c>
      <c r="D52" s="26">
        <f t="shared" si="2"/>
        <v>0.35047951176983438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3">
        <v>16</v>
      </c>
      <c r="B53" s="3">
        <v>6691</v>
      </c>
      <c r="C53" s="3">
        <v>6178.7142860000004</v>
      </c>
      <c r="D53" s="26">
        <f t="shared" si="2"/>
        <v>7.6563400687490568E-2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3">
        <v>17</v>
      </c>
      <c r="B54" s="3">
        <v>2148</v>
      </c>
      <c r="C54" s="3">
        <v>3436.2857140000001</v>
      </c>
      <c r="D54" s="26">
        <f t="shared" si="2"/>
        <v>0.59976057448789577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3">
        <v>18</v>
      </c>
      <c r="B55" s="3">
        <v>412</v>
      </c>
      <c r="C55" s="3">
        <v>779</v>
      </c>
      <c r="D55" s="26">
        <f t="shared" si="2"/>
        <v>0.89077669902912615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3">
        <v>19</v>
      </c>
      <c r="B56" s="3">
        <v>44</v>
      </c>
      <c r="C56" s="3">
        <v>0</v>
      </c>
      <c r="D56" s="26">
        <f t="shared" si="2"/>
        <v>1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3">
        <v>20</v>
      </c>
      <c r="B57" s="3">
        <v>44</v>
      </c>
      <c r="C57" s="3">
        <v>0</v>
      </c>
      <c r="D57" s="26">
        <f t="shared" si="2"/>
        <v>1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3">
        <v>21</v>
      </c>
      <c r="B58" s="3">
        <v>44</v>
      </c>
      <c r="C58" s="3">
        <v>0</v>
      </c>
      <c r="D58" s="26">
        <f t="shared" si="2"/>
        <v>1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3">
        <v>22</v>
      </c>
      <c r="B59" s="3">
        <v>44</v>
      </c>
      <c r="C59" s="3">
        <v>0</v>
      </c>
      <c r="D59" s="26">
        <f t="shared" si="2"/>
        <v>1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3">
        <v>23</v>
      </c>
      <c r="B60" s="3">
        <v>44</v>
      </c>
      <c r="C60" s="3">
        <v>0</v>
      </c>
      <c r="D60" s="26">
        <f t="shared" si="2"/>
        <v>1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127000</xdr:rowOff>
                  </from>
                  <to>
                    <xdr:col>17</xdr:col>
                    <xdr:colOff>88900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0</xdr:colOff>
                    <xdr:row>58</xdr:row>
                    <xdr:rowOff>127000</xdr:rowOff>
                  </from>
                  <to>
                    <xdr:col>17</xdr:col>
                    <xdr:colOff>88900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284E0-87C4-A94B-ADD0-3157F0718C14}">
  <sheetPr codeName="Sheet4">
    <pageSetUpPr fitToPage="1"/>
  </sheetPr>
  <dimension ref="A1:W60"/>
  <sheetViews>
    <sheetView topLeftCell="B3" zoomScale="86" workbookViewId="0">
      <selection activeCell="Q33" sqref="Q33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3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24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29">
        <v>0</v>
      </c>
      <c r="E9" s="8"/>
      <c r="F9" s="6" t="s">
        <v>15</v>
      </c>
      <c r="G9" s="28">
        <f>ABS(G22/G20-1)</f>
        <v>2.4769360362768778E-2</v>
      </c>
      <c r="I9" s="4">
        <v>0</v>
      </c>
      <c r="J9" s="4">
        <v>0</v>
      </c>
      <c r="K9" s="4">
        <v>0</v>
      </c>
      <c r="L9" s="29">
        <v>0</v>
      </c>
      <c r="M9" s="8"/>
      <c r="N9" s="6" t="s">
        <v>15</v>
      </c>
      <c r="O9" s="28">
        <f>ABS(O22/O20-1)</f>
        <v>9.6721000798979162E-2</v>
      </c>
    </row>
    <row r="10" spans="1:23">
      <c r="A10" s="4">
        <v>1</v>
      </c>
      <c r="B10" s="4">
        <v>0</v>
      </c>
      <c r="C10" s="4">
        <v>0</v>
      </c>
      <c r="D10" s="29">
        <v>0</v>
      </c>
      <c r="E10" s="8"/>
      <c r="F10" s="6" t="s">
        <v>16</v>
      </c>
      <c r="G10" s="24">
        <f>AVERAGE(D9:D32)</f>
        <v>0.28452917914818504</v>
      </c>
      <c r="I10" s="4">
        <v>1</v>
      </c>
      <c r="J10" s="4">
        <v>0</v>
      </c>
      <c r="K10" s="4">
        <v>0</v>
      </c>
      <c r="L10" s="29">
        <v>0</v>
      </c>
      <c r="M10" s="8"/>
      <c r="N10" s="6" t="s">
        <v>16</v>
      </c>
      <c r="O10" s="24">
        <f>AVERAGE(L9:L32)</f>
        <v>0.2995991311988539</v>
      </c>
    </row>
    <row r="11" spans="1:23">
      <c r="A11" s="4">
        <v>2</v>
      </c>
      <c r="B11" s="4">
        <v>0</v>
      </c>
      <c r="C11" s="4">
        <v>0</v>
      </c>
      <c r="D11" s="29">
        <v>0</v>
      </c>
      <c r="E11" s="8"/>
      <c r="F11" s="6" t="s">
        <v>17</v>
      </c>
      <c r="G11" s="24">
        <f>AVERAGE(D16:D27)</f>
        <v>0.56905835829637008</v>
      </c>
      <c r="I11" s="4">
        <v>2</v>
      </c>
      <c r="J11" s="4">
        <v>0</v>
      </c>
      <c r="K11" s="4">
        <v>0</v>
      </c>
      <c r="L11" s="29">
        <v>0</v>
      </c>
      <c r="M11" s="8"/>
      <c r="N11" s="6" t="s">
        <v>17</v>
      </c>
      <c r="O11" s="24">
        <f>AVERAGE(L16:L27)</f>
        <v>0.59919826239770779</v>
      </c>
    </row>
    <row r="12" spans="1:23">
      <c r="A12" s="4">
        <v>3</v>
      </c>
      <c r="B12" s="4">
        <v>0</v>
      </c>
      <c r="C12" s="4">
        <v>0</v>
      </c>
      <c r="D12" s="29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29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29">
        <v>0</v>
      </c>
      <c r="E13" s="8"/>
      <c r="F13" s="11" t="s">
        <v>0</v>
      </c>
      <c r="G13" s="24">
        <f>AVERAGE(D15:D17)</f>
        <v>1.0470707822257117</v>
      </c>
      <c r="I13" s="4">
        <v>4</v>
      </c>
      <c r="J13" s="4">
        <v>0</v>
      </c>
      <c r="K13" s="4">
        <v>0</v>
      </c>
      <c r="L13" s="29">
        <v>0</v>
      </c>
      <c r="M13" s="8"/>
      <c r="N13" s="11" t="s">
        <v>0</v>
      </c>
      <c r="O13" s="24">
        <f>AVERAGE(L15:L17)</f>
        <v>1.2586310781540342</v>
      </c>
    </row>
    <row r="14" spans="1:23">
      <c r="A14" s="4">
        <v>5</v>
      </c>
      <c r="B14" s="4">
        <v>0</v>
      </c>
      <c r="C14" s="4">
        <v>0</v>
      </c>
      <c r="D14" s="29">
        <v>0</v>
      </c>
      <c r="E14" s="8"/>
      <c r="F14" s="6" t="s">
        <v>1</v>
      </c>
      <c r="G14" s="24">
        <f>AVERAGE(D18:D20)</f>
        <v>0.24042000432461608</v>
      </c>
      <c r="I14" s="4">
        <v>5</v>
      </c>
      <c r="J14" s="4">
        <v>0</v>
      </c>
      <c r="K14" s="4">
        <v>0</v>
      </c>
      <c r="L14" s="29">
        <v>0</v>
      </c>
      <c r="M14" s="8"/>
      <c r="N14" s="6" t="s">
        <v>1</v>
      </c>
      <c r="O14" s="24">
        <f>AVERAGE(L18:L20)</f>
        <v>0.14941932480164499</v>
      </c>
    </row>
    <row r="15" spans="1:23">
      <c r="A15" s="4">
        <v>6</v>
      </c>
      <c r="B15" s="4">
        <v>0</v>
      </c>
      <c r="C15" s="4">
        <v>0</v>
      </c>
      <c r="D15" s="29">
        <v>0</v>
      </c>
      <c r="E15" s="8"/>
      <c r="F15" s="6" t="s">
        <v>2</v>
      </c>
      <c r="G15" s="24">
        <f>AVERAGE(D21:D23)</f>
        <v>0.17782719194680677</v>
      </c>
      <c r="I15" s="4">
        <v>6</v>
      </c>
      <c r="J15" s="4">
        <v>0</v>
      </c>
      <c r="K15" s="4">
        <v>0</v>
      </c>
      <c r="L15" s="29">
        <v>0</v>
      </c>
      <c r="M15" s="8"/>
      <c r="N15" s="6" t="s">
        <v>2</v>
      </c>
      <c r="O15" s="24">
        <f>AVERAGE(L21:L23)</f>
        <v>0.17782719194680677</v>
      </c>
    </row>
    <row r="16" spans="1:23">
      <c r="A16" s="4">
        <v>7</v>
      </c>
      <c r="B16" s="4">
        <v>4871</v>
      </c>
      <c r="C16" s="4">
        <v>18805</v>
      </c>
      <c r="D16" s="26">
        <f>ABS(C16/B16-1)</f>
        <v>2.8606035721617737</v>
      </c>
      <c r="E16" s="8"/>
      <c r="F16" s="6" t="s">
        <v>3</v>
      </c>
      <c r="G16" s="24">
        <f>AVERAGE(D24:D26)</f>
        <v>0.47758212135501193</v>
      </c>
      <c r="I16" s="4">
        <v>7</v>
      </c>
      <c r="J16" s="4">
        <v>4871</v>
      </c>
      <c r="K16" s="4">
        <v>15324.285714</v>
      </c>
      <c r="L16" s="26">
        <f>ABS(K16/J16-1)</f>
        <v>2.1460245768835966</v>
      </c>
      <c r="M16" s="8"/>
      <c r="N16" s="6" t="s">
        <v>3</v>
      </c>
      <c r="O16" s="24">
        <f>AVERAGE(L24:L26)</f>
        <v>0.47758212135501193</v>
      </c>
    </row>
    <row r="17" spans="1:15">
      <c r="A17" s="4">
        <v>8</v>
      </c>
      <c r="B17" s="4">
        <v>35284</v>
      </c>
      <c r="C17" s="4">
        <v>25383</v>
      </c>
      <c r="D17" s="26">
        <f t="shared" ref="D17:D27" si="0">ABS(C17/B17-1)</f>
        <v>0.28060877451536104</v>
      </c>
      <c r="E17" s="8"/>
      <c r="F17" s="6" t="s">
        <v>4</v>
      </c>
      <c r="G17" s="24">
        <f>AVERAGE(D27:D29)</f>
        <v>0.33333333333333331</v>
      </c>
      <c r="I17" s="4">
        <v>8</v>
      </c>
      <c r="J17" s="4">
        <v>35284</v>
      </c>
      <c r="K17" s="4">
        <v>92792.285713999998</v>
      </c>
      <c r="L17" s="26">
        <f t="shared" ref="L17:L27" si="1">ABS(K17/J17-1)</f>
        <v>1.629868657578506</v>
      </c>
      <c r="M17" s="8"/>
      <c r="N17" s="6" t="s">
        <v>4</v>
      </c>
      <c r="O17" s="24">
        <f>AVERAGE(L27:L29)</f>
        <v>0.33333333333333331</v>
      </c>
    </row>
    <row r="18" spans="1:15">
      <c r="A18" s="4">
        <v>9</v>
      </c>
      <c r="B18" s="4">
        <v>102803</v>
      </c>
      <c r="C18" s="4">
        <v>60520</v>
      </c>
      <c r="D18" s="26">
        <f t="shared" si="0"/>
        <v>0.41130122661790025</v>
      </c>
      <c r="E18" s="8"/>
      <c r="F18" s="8"/>
      <c r="G18" s="12"/>
      <c r="I18" s="4">
        <v>9</v>
      </c>
      <c r="J18" s="4">
        <v>102803</v>
      </c>
      <c r="K18" s="4">
        <v>117020.571429</v>
      </c>
      <c r="L18" s="26">
        <f t="shared" si="1"/>
        <v>0.138299188048987</v>
      </c>
      <c r="M18" s="8"/>
      <c r="N18" s="8"/>
      <c r="O18" s="12"/>
    </row>
    <row r="19" spans="1:15">
      <c r="A19" s="4">
        <v>10</v>
      </c>
      <c r="B19" s="4">
        <v>169574</v>
      </c>
      <c r="C19" s="4">
        <v>128463</v>
      </c>
      <c r="D19" s="26">
        <f t="shared" si="0"/>
        <v>0.24243693018976964</v>
      </c>
      <c r="E19" s="8"/>
      <c r="F19" s="8"/>
      <c r="G19" s="12"/>
      <c r="I19" s="4">
        <v>10</v>
      </c>
      <c r="J19" s="4">
        <v>169574</v>
      </c>
      <c r="K19" s="4">
        <v>128463</v>
      </c>
      <c r="L19" s="26">
        <f t="shared" si="1"/>
        <v>0.24243693018976964</v>
      </c>
      <c r="M19" s="8"/>
      <c r="N19" s="8"/>
      <c r="O19" s="12"/>
    </row>
    <row r="20" spans="1:15" ht="16" customHeight="1">
      <c r="A20" s="4">
        <v>11</v>
      </c>
      <c r="B20" s="4">
        <v>167916</v>
      </c>
      <c r="C20" s="4">
        <v>179254</v>
      </c>
      <c r="D20" s="26">
        <f t="shared" si="0"/>
        <v>6.752185616617834E-2</v>
      </c>
      <c r="E20" s="8"/>
      <c r="F20" s="37" t="s">
        <v>18</v>
      </c>
      <c r="G20" s="38">
        <f>SUM(B9:B32)</f>
        <v>991265</v>
      </c>
      <c r="I20" s="4">
        <v>11</v>
      </c>
      <c r="J20" s="4">
        <v>167916</v>
      </c>
      <c r="K20" s="4">
        <v>179254</v>
      </c>
      <c r="L20" s="26">
        <f t="shared" si="1"/>
        <v>6.752185616617834E-2</v>
      </c>
      <c r="M20" s="8"/>
      <c r="N20" s="37" t="s">
        <v>18</v>
      </c>
      <c r="O20" s="38">
        <f>SUM(J9:J32)</f>
        <v>991265</v>
      </c>
    </row>
    <row r="21" spans="1:15">
      <c r="A21" s="4">
        <v>12</v>
      </c>
      <c r="B21" s="4">
        <v>164215</v>
      </c>
      <c r="C21" s="4">
        <v>149156</v>
      </c>
      <c r="D21" s="26">
        <f t="shared" si="0"/>
        <v>9.1702950400389782E-2</v>
      </c>
      <c r="E21" s="8"/>
      <c r="F21" s="37"/>
      <c r="G21" s="38"/>
      <c r="I21" s="4">
        <v>12</v>
      </c>
      <c r="J21" s="4">
        <v>164215</v>
      </c>
      <c r="K21" s="4">
        <v>149156</v>
      </c>
      <c r="L21" s="26">
        <f t="shared" si="1"/>
        <v>9.1702950400389782E-2</v>
      </c>
      <c r="M21" s="8"/>
      <c r="N21" s="37"/>
      <c r="O21" s="38"/>
    </row>
    <row r="22" spans="1:15" ht="16" customHeight="1">
      <c r="A22" s="4">
        <v>13</v>
      </c>
      <c r="B22" s="4">
        <v>153332</v>
      </c>
      <c r="C22" s="4">
        <v>149529</v>
      </c>
      <c r="D22" s="26">
        <f t="shared" si="0"/>
        <v>2.4802389585996454E-2</v>
      </c>
      <c r="E22" s="8"/>
      <c r="F22" s="37" t="s">
        <v>19</v>
      </c>
      <c r="G22" s="38">
        <f>SUM(C9:C32)</f>
        <v>966712</v>
      </c>
      <c r="I22" s="4">
        <v>13</v>
      </c>
      <c r="J22" s="4">
        <v>153332</v>
      </c>
      <c r="K22" s="4">
        <v>149529</v>
      </c>
      <c r="L22" s="26">
        <f t="shared" si="1"/>
        <v>2.4802389585996454E-2</v>
      </c>
      <c r="M22" s="8"/>
      <c r="N22" s="37" t="s">
        <v>19</v>
      </c>
      <c r="O22" s="38">
        <f>SUM(K9:K32)</f>
        <v>1087141.142857</v>
      </c>
    </row>
    <row r="23" spans="1:15">
      <c r="A23" s="4">
        <v>14</v>
      </c>
      <c r="B23" s="4">
        <v>92871</v>
      </c>
      <c r="C23" s="4">
        <v>131596</v>
      </c>
      <c r="D23" s="26">
        <f t="shared" si="0"/>
        <v>0.41697623585403409</v>
      </c>
      <c r="E23" s="8"/>
      <c r="F23" s="37"/>
      <c r="G23" s="38"/>
      <c r="I23" s="4">
        <v>14</v>
      </c>
      <c r="J23" s="4">
        <v>92871</v>
      </c>
      <c r="K23" s="4">
        <v>131596</v>
      </c>
      <c r="L23" s="26">
        <f t="shared" si="1"/>
        <v>0.41697623585403409</v>
      </c>
      <c r="M23" s="8"/>
      <c r="N23" s="37"/>
      <c r="O23" s="38"/>
    </row>
    <row r="24" spans="1:15">
      <c r="A24" s="4">
        <v>15</v>
      </c>
      <c r="B24" s="4">
        <v>52542</v>
      </c>
      <c r="C24" s="4">
        <v>59707</v>
      </c>
      <c r="D24" s="26">
        <f t="shared" si="0"/>
        <v>0.13636709679875159</v>
      </c>
      <c r="E24" s="8"/>
      <c r="F24" s="8"/>
      <c r="G24" s="12"/>
      <c r="I24" s="4">
        <v>15</v>
      </c>
      <c r="J24" s="4">
        <v>52542</v>
      </c>
      <c r="K24" s="4">
        <v>59707</v>
      </c>
      <c r="L24" s="26">
        <f t="shared" si="1"/>
        <v>0.13636709679875159</v>
      </c>
      <c r="M24" s="8"/>
      <c r="N24" s="8"/>
      <c r="O24" s="12"/>
    </row>
    <row r="25" spans="1:15">
      <c r="A25" s="4">
        <v>16</v>
      </c>
      <c r="B25" s="4">
        <v>35075</v>
      </c>
      <c r="C25" s="4">
        <v>37721</v>
      </c>
      <c r="D25" s="26">
        <f t="shared" si="0"/>
        <v>7.5438346400570122E-2</v>
      </c>
      <c r="E25" s="8"/>
      <c r="F25" s="8"/>
      <c r="G25" s="12"/>
      <c r="I25" s="4">
        <v>16</v>
      </c>
      <c r="J25" s="4">
        <v>35075</v>
      </c>
      <c r="K25" s="4">
        <v>37721</v>
      </c>
      <c r="L25" s="26">
        <f t="shared" si="1"/>
        <v>7.5438346400570122E-2</v>
      </c>
      <c r="M25" s="8"/>
      <c r="N25" s="8"/>
      <c r="O25" s="12"/>
    </row>
    <row r="26" spans="1:15">
      <c r="A26" s="4">
        <v>17</v>
      </c>
      <c r="B26" s="4">
        <v>11967</v>
      </c>
      <c r="C26" s="4">
        <v>26578</v>
      </c>
      <c r="D26" s="26">
        <f t="shared" si="0"/>
        <v>1.220940920865714</v>
      </c>
      <c r="E26" s="8"/>
      <c r="F26" s="8"/>
      <c r="G26" s="12"/>
      <c r="I26" s="4">
        <v>17</v>
      </c>
      <c r="J26" s="4">
        <v>11967</v>
      </c>
      <c r="K26" s="4">
        <v>26578</v>
      </c>
      <c r="L26" s="26">
        <f t="shared" si="1"/>
        <v>1.220940920865714</v>
      </c>
      <c r="M26" s="8"/>
      <c r="N26" s="8"/>
      <c r="O26" s="12"/>
    </row>
    <row r="27" spans="1:15">
      <c r="A27" s="4">
        <v>18</v>
      </c>
      <c r="B27" s="4">
        <v>815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815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29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29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29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29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29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29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29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29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29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29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29">
        <v>0</v>
      </c>
      <c r="E37" s="8"/>
      <c r="F37" s="6" t="s">
        <v>15</v>
      </c>
      <c r="G37" s="28">
        <f>ABS(G50/G48-1)</f>
        <v>0.19566052324252348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29">
        <v>0</v>
      </c>
      <c r="E38" s="8"/>
      <c r="F38" s="6" t="s">
        <v>16</v>
      </c>
      <c r="G38" s="24">
        <f>AVERAGE(D37:D60)</f>
        <v>0.94230182058456879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29">
        <v>0</v>
      </c>
      <c r="E39" s="8"/>
      <c r="F39" s="6" t="s">
        <v>17</v>
      </c>
      <c r="G39" s="24">
        <f>AVERAGE(D44:D55)</f>
        <v>1.8846036411691376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29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29">
        <v>0</v>
      </c>
      <c r="E41" s="8"/>
      <c r="F41" s="11" t="s">
        <v>0</v>
      </c>
      <c r="G41" s="24">
        <f>AVERAGE(D43:D45)</f>
        <v>1.2586310781540342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29">
        <v>0</v>
      </c>
      <c r="E42" s="8"/>
      <c r="F42" s="6" t="s">
        <v>1</v>
      </c>
      <c r="G42" s="24">
        <f>AVERAGE(D46:D48)</f>
        <v>0.14941932480164499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29">
        <v>0</v>
      </c>
      <c r="E43" s="8"/>
      <c r="F43" s="6" t="s">
        <v>2</v>
      </c>
      <c r="G43" s="24">
        <f>AVERAGE(D49:D51)</f>
        <v>0.17782719194680677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4871</v>
      </c>
      <c r="C44" s="4">
        <v>15324.285714</v>
      </c>
      <c r="D44" s="26">
        <f>ABS(C44/B44-1)</f>
        <v>2.1460245768835966</v>
      </c>
      <c r="E44" s="8"/>
      <c r="F44" s="6" t="s">
        <v>3</v>
      </c>
      <c r="G44" s="24">
        <f>AVERAGE(D52:D54)</f>
        <v>1.9910996339867435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35284</v>
      </c>
      <c r="C45" s="4">
        <v>92792.285713999998</v>
      </c>
      <c r="D45" s="26">
        <f t="shared" ref="D45:D55" si="2">ABS(C45/B45-1)</f>
        <v>1.629868657578506</v>
      </c>
      <c r="E45" s="8"/>
      <c r="F45" s="6" t="s">
        <v>4</v>
      </c>
      <c r="G45" s="24">
        <f>AVERAGE(D55:D57)</f>
        <v>3.9614373357873212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102803</v>
      </c>
      <c r="C46" s="4">
        <v>117020.571429</v>
      </c>
      <c r="D46" s="26">
        <f t="shared" si="2"/>
        <v>0.138299188048987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169574</v>
      </c>
      <c r="C47" s="4">
        <v>128463</v>
      </c>
      <c r="D47" s="26">
        <f t="shared" si="2"/>
        <v>0.24243693018976964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167916</v>
      </c>
      <c r="C48" s="4">
        <v>179254</v>
      </c>
      <c r="D48" s="26">
        <f t="shared" si="2"/>
        <v>6.752185616617834E-2</v>
      </c>
      <c r="E48" s="8"/>
      <c r="F48" s="37" t="s">
        <v>18</v>
      </c>
      <c r="G48" s="38">
        <f>SUM(B37:B60)</f>
        <v>991265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164215</v>
      </c>
      <c r="C49" s="4">
        <v>149156</v>
      </c>
      <c r="D49" s="26">
        <f t="shared" si="2"/>
        <v>9.1702950400389782E-2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153332</v>
      </c>
      <c r="C50" s="4">
        <v>149529</v>
      </c>
      <c r="D50" s="26">
        <f t="shared" si="2"/>
        <v>2.4802389585996454E-2</v>
      </c>
      <c r="E50" s="8"/>
      <c r="F50" s="37" t="s">
        <v>19</v>
      </c>
      <c r="G50" s="38">
        <f>SUM(C37:C60)</f>
        <v>1185216.428572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92871</v>
      </c>
      <c r="C51" s="4">
        <v>131596</v>
      </c>
      <c r="D51" s="26">
        <f t="shared" si="2"/>
        <v>0.41697623585403409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52542</v>
      </c>
      <c r="C52" s="4">
        <v>59707</v>
      </c>
      <c r="D52" s="26">
        <f t="shared" si="2"/>
        <v>0.13636709679875159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35075</v>
      </c>
      <c r="C53" s="4">
        <v>88171.714286000002</v>
      </c>
      <c r="D53" s="26">
        <f t="shared" si="2"/>
        <v>1.5138051115039204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11967</v>
      </c>
      <c r="C54" s="4">
        <v>63701.857143000001</v>
      </c>
      <c r="D54" s="26">
        <f t="shared" si="2"/>
        <v>4.3231266936575583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815</v>
      </c>
      <c r="C55" s="4">
        <v>10500.714286</v>
      </c>
      <c r="D55" s="26">
        <f t="shared" si="2"/>
        <v>11.884312007361963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29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29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29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29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29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114300</xdr:rowOff>
                  </from>
                  <to>
                    <xdr:col>17</xdr:col>
                    <xdr:colOff>127000</xdr:colOff>
                    <xdr:row>57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50800</xdr:colOff>
                    <xdr:row>58</xdr:row>
                    <xdr:rowOff>101600</xdr:rowOff>
                  </from>
                  <to>
                    <xdr:col>17</xdr:col>
                    <xdr:colOff>127000</xdr:colOff>
                    <xdr:row>59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93F8-75BD-2341-BEEA-93DF56BD82F8}">
  <sheetPr codeName="Sheet5">
    <pageSetUpPr fitToPage="1"/>
  </sheetPr>
  <dimension ref="A1:W60"/>
  <sheetViews>
    <sheetView zoomScale="71" workbookViewId="0">
      <selection activeCell="Q31" sqref="Q3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25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2.4329272620671638E-2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3.1459121574411775E-2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0.26554992144004758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0.24042446117608565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0.53109984288009515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0.4808489223521713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0.25716018733464102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5.8290823280944593E-2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6.1638820482661193E-2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5.9504502424662133E-2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9.2894555763792838E-2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9.2894555763792838E-2</v>
      </c>
    </row>
    <row r="16" spans="1:23">
      <c r="A16" s="4">
        <v>7</v>
      </c>
      <c r="B16" s="4">
        <v>14926</v>
      </c>
      <c r="C16" s="4">
        <v>12410</v>
      </c>
      <c r="D16" s="26">
        <f>ABS(C16/B16-1)</f>
        <v>0.16856492027334857</v>
      </c>
      <c r="E16" s="8"/>
      <c r="F16" s="6" t="s">
        <v>3</v>
      </c>
      <c r="G16" s="24">
        <f>AVERAGE(D24:D26)</f>
        <v>1.3793724746059521</v>
      </c>
      <c r="I16" s="4">
        <v>7</v>
      </c>
      <c r="J16" s="4">
        <v>14926</v>
      </c>
      <c r="K16" s="4">
        <v>13327</v>
      </c>
      <c r="L16" s="26">
        <f t="shared" ref="L16:L27" si="0">ABS(K16/J16-1)</f>
        <v>0.10712850060297463</v>
      </c>
      <c r="M16" s="8"/>
      <c r="N16" s="6" t="s">
        <v>3</v>
      </c>
      <c r="O16" s="24">
        <f>AVERAGE(L24:L26)</f>
        <v>1.3793724746059521</v>
      </c>
    </row>
    <row r="17" spans="1:15">
      <c r="A17" s="4">
        <v>8</v>
      </c>
      <c r="B17" s="4">
        <v>82932</v>
      </c>
      <c r="C17" s="4">
        <v>32931</v>
      </c>
      <c r="D17" s="26">
        <f t="shared" ref="D17:D26" si="1">ABS(C17/B17-1)</f>
        <v>0.60291564173057444</v>
      </c>
      <c r="E17" s="8"/>
      <c r="F17" s="6" t="s">
        <v>4</v>
      </c>
      <c r="G17" s="24">
        <f>AVERAGE(D27:D29)</f>
        <v>0.33333333333333331</v>
      </c>
      <c r="I17" s="4">
        <v>8</v>
      </c>
      <c r="J17" s="4">
        <v>82932</v>
      </c>
      <c r="K17" s="4">
        <v>88550.142856999999</v>
      </c>
      <c r="L17" s="26">
        <f t="shared" si="0"/>
        <v>6.7743969239859148E-2</v>
      </c>
      <c r="M17" s="8"/>
      <c r="N17" s="6" t="s">
        <v>4</v>
      </c>
      <c r="O17" s="24">
        <f>AVERAGE(L27:L29)</f>
        <v>0.33333333333333331</v>
      </c>
    </row>
    <row r="18" spans="1:15">
      <c r="A18" s="4">
        <v>9</v>
      </c>
      <c r="B18" s="4">
        <v>131301</v>
      </c>
      <c r="C18" s="4">
        <v>116457</v>
      </c>
      <c r="D18" s="26">
        <f t="shared" si="1"/>
        <v>0.11305321360842646</v>
      </c>
      <c r="E18" s="8"/>
      <c r="F18" s="8"/>
      <c r="G18" s="12"/>
      <c r="I18" s="4">
        <v>9</v>
      </c>
      <c r="J18" s="4">
        <v>131301</v>
      </c>
      <c r="K18" s="4">
        <v>117297.714286</v>
      </c>
      <c r="L18" s="26">
        <f t="shared" si="0"/>
        <v>0.1066502594344293</v>
      </c>
      <c r="M18" s="8"/>
      <c r="N18" s="8"/>
      <c r="O18" s="12"/>
    </row>
    <row r="19" spans="1:15">
      <c r="A19" s="4">
        <v>10</v>
      </c>
      <c r="B19" s="4">
        <v>135999</v>
      </c>
      <c r="C19" s="4">
        <v>139364</v>
      </c>
      <c r="D19" s="26">
        <f t="shared" si="1"/>
        <v>2.4742828991389576E-2</v>
      </c>
      <c r="E19" s="8"/>
      <c r="F19" s="8"/>
      <c r="G19" s="12"/>
      <c r="I19" s="4">
        <v>10</v>
      </c>
      <c r="J19" s="4">
        <v>135999</v>
      </c>
      <c r="K19" s="4">
        <v>139364</v>
      </c>
      <c r="L19" s="26">
        <f t="shared" si="0"/>
        <v>2.4742828991389576E-2</v>
      </c>
      <c r="M19" s="8"/>
      <c r="N19" s="8"/>
      <c r="O19" s="12"/>
    </row>
    <row r="20" spans="1:15" ht="16" customHeight="1">
      <c r="A20" s="4">
        <v>11</v>
      </c>
      <c r="B20" s="4">
        <v>133700</v>
      </c>
      <c r="C20" s="4">
        <v>127400</v>
      </c>
      <c r="D20" s="26">
        <f t="shared" si="1"/>
        <v>4.7120418848167533E-2</v>
      </c>
      <c r="E20" s="8"/>
      <c r="F20" s="37" t="s">
        <v>18</v>
      </c>
      <c r="G20" s="38">
        <f>SUM(B9:B32)</f>
        <v>1028473</v>
      </c>
      <c r="I20" s="4">
        <v>11</v>
      </c>
      <c r="J20" s="4">
        <v>133700</v>
      </c>
      <c r="K20" s="4">
        <v>127400</v>
      </c>
      <c r="L20" s="26">
        <f t="shared" si="0"/>
        <v>4.7120418848167533E-2</v>
      </c>
      <c r="M20" s="8"/>
      <c r="N20" s="37" t="s">
        <v>18</v>
      </c>
      <c r="O20" s="38">
        <f>SUM(J9:J32)</f>
        <v>1028473</v>
      </c>
    </row>
    <row r="21" spans="1:15">
      <c r="A21" s="4">
        <v>12</v>
      </c>
      <c r="B21" s="4">
        <v>133643</v>
      </c>
      <c r="C21" s="4">
        <v>127758</v>
      </c>
      <c r="D21" s="26">
        <f t="shared" si="1"/>
        <v>4.4035228182546016E-2</v>
      </c>
      <c r="E21" s="8"/>
      <c r="F21" s="37"/>
      <c r="G21" s="38"/>
      <c r="I21" s="4">
        <v>12</v>
      </c>
      <c r="J21" s="4">
        <v>133643</v>
      </c>
      <c r="K21" s="4">
        <v>127758</v>
      </c>
      <c r="L21" s="26">
        <f t="shared" si="0"/>
        <v>4.4035228182546016E-2</v>
      </c>
      <c r="M21" s="8"/>
      <c r="N21" s="37"/>
      <c r="O21" s="38"/>
    </row>
    <row r="22" spans="1:15" ht="16" customHeight="1">
      <c r="A22" s="4">
        <v>13</v>
      </c>
      <c r="B22" s="4">
        <v>118410</v>
      </c>
      <c r="C22" s="4">
        <v>126450</v>
      </c>
      <c r="D22" s="26">
        <f t="shared" si="1"/>
        <v>6.7899670635926057E-2</v>
      </c>
      <c r="E22" s="8"/>
      <c r="F22" s="37" t="s">
        <v>19</v>
      </c>
      <c r="G22" s="38">
        <f>SUM(C9:C32)</f>
        <v>1003451</v>
      </c>
      <c r="I22" s="4">
        <v>13</v>
      </c>
      <c r="J22" s="4">
        <v>118410</v>
      </c>
      <c r="K22" s="4">
        <v>126450</v>
      </c>
      <c r="L22" s="26">
        <f t="shared" si="0"/>
        <v>6.7899670635926057E-2</v>
      </c>
      <c r="M22" s="8"/>
      <c r="N22" s="37" t="s">
        <v>19</v>
      </c>
      <c r="O22" s="38">
        <f>SUM(K9:K32)</f>
        <v>1060827.857143</v>
      </c>
    </row>
    <row r="23" spans="1:15">
      <c r="A23" s="4">
        <v>14</v>
      </c>
      <c r="B23" s="4">
        <v>125860</v>
      </c>
      <c r="C23" s="4">
        <v>104873</v>
      </c>
      <c r="D23" s="26">
        <f t="shared" si="1"/>
        <v>0.16674876847290643</v>
      </c>
      <c r="E23" s="8"/>
      <c r="F23" s="37"/>
      <c r="G23" s="38"/>
      <c r="I23" s="4">
        <v>14</v>
      </c>
      <c r="J23" s="4">
        <v>125860</v>
      </c>
      <c r="K23" s="4">
        <v>104873</v>
      </c>
      <c r="L23" s="26">
        <f t="shared" si="0"/>
        <v>0.16674876847290643</v>
      </c>
      <c r="M23" s="8"/>
      <c r="N23" s="37"/>
      <c r="O23" s="38"/>
    </row>
    <row r="24" spans="1:15">
      <c r="A24" s="4">
        <v>15</v>
      </c>
      <c r="B24" s="4">
        <v>71779</v>
      </c>
      <c r="C24" s="4">
        <v>126520</v>
      </c>
      <c r="D24" s="26">
        <f t="shared" si="1"/>
        <v>0.76263252483316846</v>
      </c>
      <c r="E24" s="8"/>
      <c r="F24" s="8"/>
      <c r="G24" s="12"/>
      <c r="I24" s="4">
        <v>15</v>
      </c>
      <c r="J24" s="4">
        <v>71779</v>
      </c>
      <c r="K24" s="4">
        <v>126520</v>
      </c>
      <c r="L24" s="26">
        <f t="shared" si="0"/>
        <v>0.76263252483316846</v>
      </c>
      <c r="M24" s="8"/>
      <c r="N24" s="8"/>
      <c r="O24" s="12"/>
    </row>
    <row r="25" spans="1:15">
      <c r="A25" s="4">
        <v>16</v>
      </c>
      <c r="B25" s="4">
        <v>63717</v>
      </c>
      <c r="C25" s="4">
        <v>33532</v>
      </c>
      <c r="D25" s="26">
        <f t="shared" si="1"/>
        <v>0.4737354238272361</v>
      </c>
      <c r="E25" s="8"/>
      <c r="F25" s="8"/>
      <c r="G25" s="12"/>
      <c r="I25" s="4">
        <v>16</v>
      </c>
      <c r="J25" s="4">
        <v>63717</v>
      </c>
      <c r="K25" s="4">
        <v>33532</v>
      </c>
      <c r="L25" s="26">
        <f t="shared" si="0"/>
        <v>0.4737354238272361</v>
      </c>
      <c r="M25" s="8"/>
      <c r="N25" s="8"/>
      <c r="O25" s="12"/>
    </row>
    <row r="26" spans="1:15">
      <c r="A26" s="4">
        <v>17</v>
      </c>
      <c r="B26" s="4">
        <v>14290</v>
      </c>
      <c r="C26" s="4">
        <v>55756</v>
      </c>
      <c r="D26" s="26">
        <f t="shared" si="1"/>
        <v>2.9017494751574526</v>
      </c>
      <c r="E26" s="8"/>
      <c r="F26" s="8"/>
      <c r="G26" s="12"/>
      <c r="I26" s="4">
        <v>17</v>
      </c>
      <c r="J26" s="4">
        <v>14290</v>
      </c>
      <c r="K26" s="4">
        <v>55756</v>
      </c>
      <c r="L26" s="26">
        <f t="shared" si="0"/>
        <v>2.9017494751574526</v>
      </c>
      <c r="M26" s="8"/>
      <c r="N26" s="8"/>
      <c r="O26" s="12"/>
    </row>
    <row r="27" spans="1:15">
      <c r="A27" s="4">
        <v>18</v>
      </c>
      <c r="B27" s="4">
        <v>1916</v>
      </c>
      <c r="C27" s="4">
        <v>0</v>
      </c>
      <c r="D27" s="26">
        <f>ABS(C27/B27-1)</f>
        <v>1</v>
      </c>
      <c r="E27" s="8"/>
      <c r="F27" s="8"/>
      <c r="G27" s="12"/>
      <c r="I27" s="4">
        <v>18</v>
      </c>
      <c r="J27" s="4">
        <v>1916</v>
      </c>
      <c r="K27" s="4">
        <v>0</v>
      </c>
      <c r="L27" s="26">
        <f t="shared" si="0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7.717349618609326E-2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0.3341172991873626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0.66823459837472521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5.8290823280944593E-2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5.9504502424662133E-2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9.2894555763792838E-2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14926</v>
      </c>
      <c r="C44" s="4">
        <v>13327</v>
      </c>
      <c r="D44" s="26">
        <f t="shared" ref="D44:D55" si="2">ABS(C44/B44-1)</f>
        <v>0.10712850060297463</v>
      </c>
      <c r="E44" s="8"/>
      <c r="F44" s="6" t="s">
        <v>3</v>
      </c>
      <c r="G44" s="24">
        <f>AVERAGE(D52:D54)</f>
        <v>1.1495931785221938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82932</v>
      </c>
      <c r="C45" s="4">
        <v>88550.142856999999</v>
      </c>
      <c r="D45" s="26">
        <f t="shared" si="2"/>
        <v>6.7743969239859148E-2</v>
      </c>
      <c r="E45" s="8"/>
      <c r="F45" s="6" t="s">
        <v>4</v>
      </c>
      <c r="G45" s="24">
        <f>AVERAGE(D55:D57)</f>
        <v>1.3126553335073072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131301</v>
      </c>
      <c r="C46" s="4">
        <v>117297.714286</v>
      </c>
      <c r="D46" s="26">
        <f t="shared" si="2"/>
        <v>0.1066502594344293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135999</v>
      </c>
      <c r="C47" s="4">
        <v>139364</v>
      </c>
      <c r="D47" s="26">
        <f t="shared" si="2"/>
        <v>2.4742828991389576E-2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133700</v>
      </c>
      <c r="C48" s="4">
        <v>127400</v>
      </c>
      <c r="D48" s="26">
        <f t="shared" si="2"/>
        <v>4.7120418848167533E-2</v>
      </c>
      <c r="E48" s="8"/>
      <c r="F48" s="37" t="s">
        <v>18</v>
      </c>
      <c r="G48" s="38">
        <f>SUM(B37:B60)</f>
        <v>1028473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133643</v>
      </c>
      <c r="C49" s="4">
        <v>127758</v>
      </c>
      <c r="D49" s="26">
        <f t="shared" si="2"/>
        <v>4.4035228182546016E-2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118410</v>
      </c>
      <c r="C50" s="4">
        <v>126450</v>
      </c>
      <c r="D50" s="26">
        <f t="shared" si="2"/>
        <v>6.7899670635926057E-2</v>
      </c>
      <c r="E50" s="8"/>
      <c r="F50" s="37" t="s">
        <v>19</v>
      </c>
      <c r="G50" s="38">
        <f>SUM(C37:C60)</f>
        <v>1107843.857143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125860</v>
      </c>
      <c r="C51" s="4">
        <v>104873</v>
      </c>
      <c r="D51" s="26">
        <f t="shared" si="2"/>
        <v>0.16674876847290643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71779</v>
      </c>
      <c r="C52" s="4">
        <v>126520</v>
      </c>
      <c r="D52" s="26">
        <f t="shared" si="2"/>
        <v>0.76263252483316846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63717</v>
      </c>
      <c r="C53" s="4">
        <v>77189.285713999998</v>
      </c>
      <c r="D53" s="26">
        <f t="shared" si="2"/>
        <v>0.2114394229797385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14290</v>
      </c>
      <c r="C54" s="4">
        <v>49653.571429000003</v>
      </c>
      <c r="D54" s="26">
        <f t="shared" si="2"/>
        <v>2.4747075877536742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1916</v>
      </c>
      <c r="C55" s="4">
        <v>9461.1428570000007</v>
      </c>
      <c r="D55" s="26">
        <f t="shared" si="2"/>
        <v>3.9379660005219215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139700</xdr:rowOff>
                  </from>
                  <to>
                    <xdr:col>17</xdr:col>
                    <xdr:colOff>101600</xdr:colOff>
                    <xdr:row>57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127000</xdr:rowOff>
                  </from>
                  <to>
                    <xdr:col>17</xdr:col>
                    <xdr:colOff>101600</xdr:colOff>
                    <xdr:row>59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2C6E4-889E-CE4C-995D-703BEDB9370A}">
  <sheetPr codeName="Sheet7">
    <pageSetUpPr fitToPage="1"/>
  </sheetPr>
  <dimension ref="A1:W60"/>
  <sheetViews>
    <sheetView zoomScale="70" workbookViewId="0">
      <selection activeCell="Q49" sqref="Q4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27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2.7614945065775331E-2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2.8004179208150459E-2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0.21339390770846575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0.1890508704742814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0.4267878154169315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0.3781017409485628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0.25858093001628285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6.5791527143857054E-2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5.8049471066297507E-2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5.6094576065248848E-2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5.6163297799038836E-2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5.6163297799038836E-2</v>
      </c>
    </row>
    <row r="16" spans="1:23">
      <c r="A16" s="4">
        <v>7</v>
      </c>
      <c r="B16" s="4">
        <v>14626</v>
      </c>
      <c r="C16" s="4">
        <v>12042</v>
      </c>
      <c r="D16" s="26">
        <f t="shared" ref="D16:D27" si="0">ABS(C16/B16-1)</f>
        <v>0.17667168056884996</v>
      </c>
      <c r="E16" s="8"/>
      <c r="F16" s="6" t="s">
        <v>3</v>
      </c>
      <c r="G16" s="24">
        <f>AVERAGE(D24:D26)</f>
        <v>1.0010242294527731</v>
      </c>
      <c r="I16" s="4">
        <v>7</v>
      </c>
      <c r="J16" s="4">
        <v>14626</v>
      </c>
      <c r="K16" s="4">
        <v>12742.571429</v>
      </c>
      <c r="L16" s="26">
        <f t="shared" ref="L16:L27" si="1">ABS(K16/J16-1)</f>
        <v>0.12877263578558729</v>
      </c>
      <c r="M16" s="8"/>
      <c r="N16" s="6" t="s">
        <v>3</v>
      </c>
      <c r="O16" s="24">
        <f>AVERAGE(L24:L26)</f>
        <v>1.0010242294527731</v>
      </c>
    </row>
    <row r="17" spans="1:15">
      <c r="A17" s="4">
        <v>8</v>
      </c>
      <c r="B17" s="4">
        <v>79019</v>
      </c>
      <c r="C17" s="4">
        <v>31681</v>
      </c>
      <c r="D17" s="26">
        <f t="shared" si="0"/>
        <v>0.59907110947999853</v>
      </c>
      <c r="E17" s="8"/>
      <c r="F17" s="6" t="s">
        <v>4</v>
      </c>
      <c r="G17" s="24">
        <f>AVERAGE(D27:D29)</f>
        <v>0.33333333333333331</v>
      </c>
      <c r="I17" s="4">
        <v>8</v>
      </c>
      <c r="J17" s="4">
        <v>79019</v>
      </c>
      <c r="K17" s="4">
        <v>84439.857143000001</v>
      </c>
      <c r="L17" s="26">
        <f t="shared" si="1"/>
        <v>6.8601945645983875E-2</v>
      </c>
      <c r="M17" s="8"/>
      <c r="N17" s="6" t="s">
        <v>4</v>
      </c>
      <c r="O17" s="24">
        <f>AVERAGE(L27:L29)</f>
        <v>0.33333333333333331</v>
      </c>
    </row>
    <row r="18" spans="1:15">
      <c r="A18" s="4">
        <v>9</v>
      </c>
      <c r="B18" s="4">
        <v>122379</v>
      </c>
      <c r="C18" s="4">
        <v>109095</v>
      </c>
      <c r="D18" s="26">
        <f t="shared" si="0"/>
        <v>0.10854803520211798</v>
      </c>
      <c r="E18" s="8"/>
      <c r="F18" s="8"/>
      <c r="G18" s="12"/>
      <c r="I18" s="4">
        <v>9</v>
      </c>
      <c r="J18" s="4">
        <v>122379</v>
      </c>
      <c r="K18" s="4">
        <v>109812.714286</v>
      </c>
      <c r="L18" s="26">
        <f t="shared" si="1"/>
        <v>0.10268335019897201</v>
      </c>
      <c r="M18" s="8"/>
      <c r="N18" s="8"/>
      <c r="O18" s="12"/>
    </row>
    <row r="19" spans="1:15">
      <c r="A19" s="4">
        <v>10</v>
      </c>
      <c r="B19" s="4">
        <v>126773</v>
      </c>
      <c r="C19" s="4">
        <v>128955</v>
      </c>
      <c r="D19" s="26">
        <f t="shared" si="0"/>
        <v>1.7211866880171733E-2</v>
      </c>
      <c r="E19" s="8"/>
      <c r="F19" s="8"/>
      <c r="G19" s="12"/>
      <c r="I19" s="4">
        <v>10</v>
      </c>
      <c r="J19" s="4">
        <v>126773</v>
      </c>
      <c r="K19" s="4">
        <v>128955</v>
      </c>
      <c r="L19" s="26">
        <f t="shared" si="1"/>
        <v>1.7211866880171733E-2</v>
      </c>
      <c r="M19" s="8"/>
      <c r="N19" s="8"/>
      <c r="O19" s="12"/>
    </row>
    <row r="20" spans="1:15" ht="16" customHeight="1">
      <c r="A20" s="4">
        <v>11</v>
      </c>
      <c r="B20" s="4">
        <v>125443</v>
      </c>
      <c r="C20" s="4">
        <v>119373</v>
      </c>
      <c r="D20" s="26">
        <f t="shared" si="0"/>
        <v>4.8388511116602806E-2</v>
      </c>
      <c r="E20" s="8"/>
      <c r="F20" s="37" t="s">
        <v>18</v>
      </c>
      <c r="G20" s="38">
        <f>SUM(B9:B32)</f>
        <v>974074</v>
      </c>
      <c r="I20" s="4">
        <v>11</v>
      </c>
      <c r="J20" s="4">
        <v>125443</v>
      </c>
      <c r="K20" s="4">
        <v>119373</v>
      </c>
      <c r="L20" s="26">
        <f t="shared" si="1"/>
        <v>4.8388511116602806E-2</v>
      </c>
      <c r="M20" s="8"/>
      <c r="N20" s="37" t="s">
        <v>18</v>
      </c>
      <c r="O20" s="38">
        <f>SUM(J9:J32)</f>
        <v>974074</v>
      </c>
    </row>
    <row r="21" spans="1:15">
      <c r="A21" s="4">
        <v>12</v>
      </c>
      <c r="B21" s="4">
        <v>123656</v>
      </c>
      <c r="C21" s="4">
        <v>120067</v>
      </c>
      <c r="D21" s="26">
        <f t="shared" si="0"/>
        <v>2.9024066765866552E-2</v>
      </c>
      <c r="E21" s="8"/>
      <c r="F21" s="37"/>
      <c r="G21" s="38"/>
      <c r="I21" s="4">
        <v>12</v>
      </c>
      <c r="J21" s="4">
        <v>123656</v>
      </c>
      <c r="K21" s="4">
        <v>120067</v>
      </c>
      <c r="L21" s="26">
        <f t="shared" si="1"/>
        <v>2.9024066765866552E-2</v>
      </c>
      <c r="M21" s="8"/>
      <c r="N21" s="37"/>
      <c r="O21" s="38"/>
    </row>
    <row r="22" spans="1:15" ht="16" customHeight="1">
      <c r="A22" s="4">
        <v>13</v>
      </c>
      <c r="B22" s="4">
        <v>113466</v>
      </c>
      <c r="C22" s="4">
        <v>116334</v>
      </c>
      <c r="D22" s="26">
        <f t="shared" si="0"/>
        <v>2.5276294220295092E-2</v>
      </c>
      <c r="E22" s="8"/>
      <c r="F22" s="37" t="s">
        <v>19</v>
      </c>
      <c r="G22" s="38">
        <f>SUM(C9:C32)</f>
        <v>947175</v>
      </c>
      <c r="I22" s="4">
        <v>13</v>
      </c>
      <c r="J22" s="4">
        <v>113466</v>
      </c>
      <c r="K22" s="4">
        <v>116334</v>
      </c>
      <c r="L22" s="26">
        <f t="shared" si="1"/>
        <v>2.5276294220295092E-2</v>
      </c>
      <c r="M22" s="8"/>
      <c r="N22" s="37" t="s">
        <v>19</v>
      </c>
      <c r="O22" s="38">
        <f>SUM(K9:K32)</f>
        <v>1001352.142858</v>
      </c>
    </row>
    <row r="23" spans="1:15">
      <c r="A23" s="4">
        <v>14</v>
      </c>
      <c r="B23" s="4">
        <v>116149</v>
      </c>
      <c r="C23" s="4">
        <v>102886</v>
      </c>
      <c r="D23" s="26">
        <f t="shared" si="0"/>
        <v>0.11418953241095486</v>
      </c>
      <c r="E23" s="8"/>
      <c r="F23" s="37"/>
      <c r="G23" s="38"/>
      <c r="I23" s="4">
        <v>14</v>
      </c>
      <c r="J23" s="4">
        <v>116149</v>
      </c>
      <c r="K23" s="4">
        <v>102886</v>
      </c>
      <c r="L23" s="26">
        <f t="shared" si="1"/>
        <v>0.11418953241095486</v>
      </c>
      <c r="M23" s="8"/>
      <c r="N23" s="37"/>
      <c r="O23" s="38"/>
    </row>
    <row r="24" spans="1:15">
      <c r="A24" s="4">
        <v>15</v>
      </c>
      <c r="B24" s="4">
        <v>76887</v>
      </c>
      <c r="C24" s="4">
        <v>113319</v>
      </c>
      <c r="D24" s="26">
        <f t="shared" si="0"/>
        <v>0.47383823012993087</v>
      </c>
      <c r="E24" s="8"/>
      <c r="F24" s="8"/>
      <c r="G24" s="12"/>
      <c r="I24" s="4">
        <v>15</v>
      </c>
      <c r="J24" s="4">
        <v>76887</v>
      </c>
      <c r="K24" s="4">
        <v>113319</v>
      </c>
      <c r="L24" s="26">
        <f t="shared" si="1"/>
        <v>0.47383823012993087</v>
      </c>
      <c r="M24" s="8"/>
      <c r="N24" s="8"/>
      <c r="O24" s="12"/>
    </row>
    <row r="25" spans="1:15">
      <c r="A25" s="4">
        <v>16</v>
      </c>
      <c r="B25" s="4">
        <v>60175</v>
      </c>
      <c r="C25" s="4">
        <v>48025</v>
      </c>
      <c r="D25" s="26">
        <f t="shared" si="0"/>
        <v>0.20191109264644791</v>
      </c>
      <c r="E25" s="8"/>
      <c r="F25" s="8"/>
      <c r="G25" s="12"/>
      <c r="I25" s="4">
        <v>16</v>
      </c>
      <c r="J25" s="4">
        <v>60175</v>
      </c>
      <c r="K25" s="4">
        <v>48025</v>
      </c>
      <c r="L25" s="26">
        <f t="shared" si="1"/>
        <v>0.20191109264644791</v>
      </c>
      <c r="M25" s="8"/>
      <c r="N25" s="8"/>
      <c r="O25" s="12"/>
    </row>
    <row r="26" spans="1:15">
      <c r="A26" s="4">
        <v>17</v>
      </c>
      <c r="B26" s="4">
        <v>13644</v>
      </c>
      <c r="C26" s="4">
        <v>45398</v>
      </c>
      <c r="D26" s="26">
        <f t="shared" si="0"/>
        <v>2.327323365581941</v>
      </c>
      <c r="E26" s="8"/>
      <c r="F26" s="8"/>
      <c r="G26" s="12"/>
      <c r="I26" s="4">
        <v>17</v>
      </c>
      <c r="J26" s="4">
        <v>13644</v>
      </c>
      <c r="K26" s="4">
        <v>45398</v>
      </c>
      <c r="L26" s="26">
        <f t="shared" si="1"/>
        <v>2.327323365581941</v>
      </c>
      <c r="M26" s="8"/>
      <c r="N26" s="8"/>
      <c r="O26" s="12"/>
    </row>
    <row r="27" spans="1:15">
      <c r="A27" s="4">
        <v>18</v>
      </c>
      <c r="B27" s="4">
        <v>1857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1857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6.6052769826522528E-2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0.31393369511988295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0.6278673902397659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6.5791527143857054E-2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5.6094576065248848E-2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5.6163297799038836E-2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14626</v>
      </c>
      <c r="C44" s="4">
        <v>12742.571429</v>
      </c>
      <c r="D44" s="26">
        <f t="shared" ref="D44:D55" si="2">ABS(C44/B44-1)</f>
        <v>0.12877263578558729</v>
      </c>
      <c r="E44" s="8"/>
      <c r="F44" s="6" t="s">
        <v>3</v>
      </c>
      <c r="G44" s="24">
        <f>AVERAGE(D52:D54)</f>
        <v>1.0500650299922036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79019</v>
      </c>
      <c r="C45" s="4">
        <v>84439.857143000001</v>
      </c>
      <c r="D45" s="26">
        <f t="shared" si="2"/>
        <v>6.8601945645983875E-2</v>
      </c>
      <c r="E45" s="8"/>
      <c r="F45" s="6" t="s">
        <v>4</v>
      </c>
      <c r="G45" s="24">
        <f>AVERAGE(D55:D57)</f>
        <v>1.2833551299587149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122379</v>
      </c>
      <c r="C46" s="4">
        <v>109812.714286</v>
      </c>
      <c r="D46" s="26">
        <f t="shared" si="2"/>
        <v>0.10268335019897201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126773</v>
      </c>
      <c r="C47" s="4">
        <v>128955</v>
      </c>
      <c r="D47" s="26">
        <f t="shared" si="2"/>
        <v>1.7211866880171733E-2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125443</v>
      </c>
      <c r="C48" s="4">
        <v>119373</v>
      </c>
      <c r="D48" s="26">
        <f t="shared" si="2"/>
        <v>4.8388511116602806E-2</v>
      </c>
      <c r="E48" s="8"/>
      <c r="F48" s="37" t="s">
        <v>18</v>
      </c>
      <c r="G48" s="38">
        <f>SUM(B37:B60)</f>
        <v>974074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123656</v>
      </c>
      <c r="C49" s="4">
        <v>120067</v>
      </c>
      <c r="D49" s="26">
        <f t="shared" si="2"/>
        <v>2.9024066765866552E-2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113466</v>
      </c>
      <c r="C50" s="4">
        <v>116334</v>
      </c>
      <c r="D50" s="26">
        <f t="shared" si="2"/>
        <v>2.5276294220295092E-2</v>
      </c>
      <c r="E50" s="8"/>
      <c r="F50" s="37" t="s">
        <v>19</v>
      </c>
      <c r="G50" s="38">
        <f>SUM(C37:C60)</f>
        <v>1038414.285716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116149</v>
      </c>
      <c r="C51" s="4">
        <v>102886</v>
      </c>
      <c r="D51" s="26">
        <f t="shared" si="2"/>
        <v>0.11418953241095486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76887</v>
      </c>
      <c r="C52" s="4">
        <v>113319</v>
      </c>
      <c r="D52" s="26">
        <f t="shared" si="2"/>
        <v>0.47383823012993087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60175</v>
      </c>
      <c r="C53" s="4">
        <v>74585.857143000001</v>
      </c>
      <c r="D53" s="26">
        <f t="shared" si="2"/>
        <v>0.23948246186954725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13644</v>
      </c>
      <c r="C54" s="4">
        <v>46892.714286000002</v>
      </c>
      <c r="D54" s="26">
        <f t="shared" si="2"/>
        <v>2.436874397977133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1857</v>
      </c>
      <c r="C55" s="4">
        <v>9006.5714289999996</v>
      </c>
      <c r="D55" s="26">
        <f t="shared" si="2"/>
        <v>3.8500653898761446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127000</xdr:rowOff>
                  </from>
                  <to>
                    <xdr:col>17</xdr:col>
                    <xdr:colOff>101600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127000</xdr:rowOff>
                  </from>
                  <to>
                    <xdr:col>17</xdr:col>
                    <xdr:colOff>101600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90A75-8A78-A740-B7CA-A3092BF293ED}">
  <sheetPr codeName="Sheet8">
    <pageSetUpPr fitToPage="1"/>
  </sheetPr>
  <dimension ref="A1:W60"/>
  <sheetViews>
    <sheetView zoomScale="76" workbookViewId="0">
      <selection activeCell="Q27" sqref="Q27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28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5.8863443596267606E-3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2.7576032960135777E-2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0.27621629166666667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0.27621629166666667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0.55243258333333334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0.55243258333333334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0.21507299999999999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0.21507299999999999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8.5193333333333343E-2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8.5193333333333343E-2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4.1186E-2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4.1186E-2</v>
      </c>
    </row>
    <row r="16" spans="1:23">
      <c r="A16" s="4">
        <v>7</v>
      </c>
      <c r="B16" s="4">
        <v>5473</v>
      </c>
      <c r="C16" s="4">
        <v>4463</v>
      </c>
      <c r="D16" s="26">
        <v>0.18454200000000001</v>
      </c>
      <c r="E16" s="8"/>
      <c r="F16" s="6" t="s">
        <v>3</v>
      </c>
      <c r="G16" s="24">
        <f>AVERAGE(D24:D26)</f>
        <v>0.39140533333333333</v>
      </c>
      <c r="I16" s="4">
        <v>7</v>
      </c>
      <c r="J16" s="4">
        <v>5473</v>
      </c>
      <c r="K16" s="4">
        <v>3387.4285709999999</v>
      </c>
      <c r="L16" s="26">
        <v>0.18454200000000001</v>
      </c>
      <c r="M16" s="8"/>
      <c r="N16" s="6" t="s">
        <v>3</v>
      </c>
      <c r="O16" s="24">
        <f>AVERAGE(L24:L26)</f>
        <v>0.39140533333333333</v>
      </c>
    </row>
    <row r="17" spans="1:15">
      <c r="A17" s="4">
        <v>8</v>
      </c>
      <c r="B17" s="4">
        <v>21082</v>
      </c>
      <c r="C17" s="4">
        <v>11370</v>
      </c>
      <c r="D17" s="26">
        <v>0.460677</v>
      </c>
      <c r="E17" s="8"/>
      <c r="F17" s="6" t="s">
        <v>4</v>
      </c>
      <c r="G17" s="24">
        <f>AVERAGE(D27:D29)</f>
        <v>1.4768726666666667</v>
      </c>
      <c r="I17" s="4">
        <v>8</v>
      </c>
      <c r="J17" s="4">
        <v>21082</v>
      </c>
      <c r="K17" s="4">
        <v>14952.285714</v>
      </c>
      <c r="L17" s="26">
        <v>0.460677</v>
      </c>
      <c r="M17" s="8"/>
      <c r="N17" s="6" t="s">
        <v>4</v>
      </c>
      <c r="O17" s="24">
        <f>AVERAGE(L27:L29)</f>
        <v>1.4768726666666667</v>
      </c>
    </row>
    <row r="18" spans="1:15">
      <c r="A18" s="4">
        <v>9</v>
      </c>
      <c r="B18" s="4">
        <v>24064</v>
      </c>
      <c r="C18" s="4">
        <v>27724</v>
      </c>
      <c r="D18" s="26">
        <v>0.15209400000000001</v>
      </c>
      <c r="E18" s="8"/>
      <c r="F18" s="8"/>
      <c r="G18" s="12"/>
      <c r="I18" s="4">
        <v>9</v>
      </c>
      <c r="J18" s="4">
        <v>24064</v>
      </c>
      <c r="K18" s="4">
        <v>20102.857143000001</v>
      </c>
      <c r="L18" s="26">
        <v>0.15209400000000001</v>
      </c>
      <c r="M18" s="8"/>
      <c r="N18" s="8"/>
      <c r="O18" s="12"/>
    </row>
    <row r="19" spans="1:15">
      <c r="A19" s="4">
        <v>10</v>
      </c>
      <c r="B19" s="4">
        <v>25531</v>
      </c>
      <c r="C19" s="4">
        <v>24171</v>
      </c>
      <c r="D19" s="26">
        <v>5.3268999999999997E-2</v>
      </c>
      <c r="E19" s="8"/>
      <c r="F19" s="8"/>
      <c r="G19" s="12"/>
      <c r="I19" s="4">
        <v>10</v>
      </c>
      <c r="J19" s="4">
        <v>25531</v>
      </c>
      <c r="K19" s="4">
        <v>24171</v>
      </c>
      <c r="L19" s="26">
        <v>5.3268999999999997E-2</v>
      </c>
      <c r="M19" s="8"/>
      <c r="N19" s="8"/>
      <c r="O19" s="12"/>
    </row>
    <row r="20" spans="1:15" ht="16" customHeight="1">
      <c r="A20" s="4">
        <v>11</v>
      </c>
      <c r="B20" s="4">
        <v>26963</v>
      </c>
      <c r="C20" s="4">
        <v>25609</v>
      </c>
      <c r="D20" s="26">
        <v>5.0216999999999998E-2</v>
      </c>
      <c r="E20" s="8"/>
      <c r="F20" s="37" t="s">
        <v>18</v>
      </c>
      <c r="G20" s="38">
        <f>SUM(B9:B32)</f>
        <v>235800</v>
      </c>
      <c r="I20" s="4">
        <v>11</v>
      </c>
      <c r="J20" s="4">
        <v>26963</v>
      </c>
      <c r="K20" s="4">
        <v>25609</v>
      </c>
      <c r="L20" s="26">
        <v>5.0216999999999998E-2</v>
      </c>
      <c r="M20" s="8"/>
      <c r="N20" s="37" t="s">
        <v>18</v>
      </c>
      <c r="O20" s="38">
        <f>SUM(J9:J32)</f>
        <v>235800</v>
      </c>
    </row>
    <row r="21" spans="1:15">
      <c r="A21" s="4">
        <v>12</v>
      </c>
      <c r="B21" s="4">
        <v>26311</v>
      </c>
      <c r="C21" s="4">
        <v>26782</v>
      </c>
      <c r="D21" s="26">
        <v>1.7901E-2</v>
      </c>
      <c r="E21" s="8"/>
      <c r="F21" s="37"/>
      <c r="G21" s="38"/>
      <c r="I21" s="4">
        <v>12</v>
      </c>
      <c r="J21" s="4">
        <v>26311</v>
      </c>
      <c r="K21" s="4">
        <v>26782</v>
      </c>
      <c r="L21" s="26">
        <v>1.7901E-2</v>
      </c>
      <c r="M21" s="8"/>
      <c r="N21" s="37"/>
      <c r="O21" s="38"/>
    </row>
    <row r="22" spans="1:15" ht="16" customHeight="1">
      <c r="A22" s="4">
        <v>13</v>
      </c>
      <c r="B22" s="4">
        <v>25086</v>
      </c>
      <c r="C22" s="4">
        <v>24612</v>
      </c>
      <c r="D22" s="26">
        <v>1.8894999999999999E-2</v>
      </c>
      <c r="E22" s="8"/>
      <c r="F22" s="37" t="s">
        <v>19</v>
      </c>
      <c r="G22" s="38">
        <f>SUM(C9:C32)</f>
        <v>234412</v>
      </c>
      <c r="I22" s="4">
        <v>13</v>
      </c>
      <c r="J22" s="4">
        <v>25086</v>
      </c>
      <c r="K22" s="4">
        <v>24612</v>
      </c>
      <c r="L22" s="26">
        <v>1.8894999999999999E-2</v>
      </c>
      <c r="M22" s="8"/>
      <c r="N22" s="37" t="s">
        <v>19</v>
      </c>
      <c r="O22" s="38">
        <f>SUM(K9:K32)</f>
        <v>229297.571428</v>
      </c>
    </row>
    <row r="23" spans="1:15">
      <c r="A23" s="4">
        <v>14</v>
      </c>
      <c r="B23" s="4">
        <v>25472</v>
      </c>
      <c r="C23" s="4">
        <v>23262</v>
      </c>
      <c r="D23" s="26">
        <v>8.6762000000000006E-2</v>
      </c>
      <c r="E23" s="8"/>
      <c r="F23" s="37"/>
      <c r="G23" s="38"/>
      <c r="I23" s="4">
        <v>14</v>
      </c>
      <c r="J23" s="4">
        <v>25472</v>
      </c>
      <c r="K23" s="4">
        <v>23262</v>
      </c>
      <c r="L23" s="26">
        <v>8.6762000000000006E-2</v>
      </c>
      <c r="M23" s="8"/>
      <c r="N23" s="37"/>
      <c r="O23" s="38"/>
    </row>
    <row r="24" spans="1:15">
      <c r="A24" s="4">
        <v>15</v>
      </c>
      <c r="B24" s="4">
        <v>19867</v>
      </c>
      <c r="C24" s="4">
        <v>23920</v>
      </c>
      <c r="D24" s="26">
        <v>0.20400699999999999</v>
      </c>
      <c r="E24" s="8"/>
      <c r="F24" s="8"/>
      <c r="G24" s="12"/>
      <c r="I24" s="4">
        <v>15</v>
      </c>
      <c r="J24" s="4">
        <v>19867</v>
      </c>
      <c r="K24" s="4">
        <v>23920</v>
      </c>
      <c r="L24" s="26">
        <v>0.20400699999999999</v>
      </c>
      <c r="M24" s="8"/>
      <c r="N24" s="8"/>
      <c r="O24" s="12"/>
    </row>
    <row r="25" spans="1:15">
      <c r="A25" s="4">
        <v>16</v>
      </c>
      <c r="B25" s="4">
        <v>22511</v>
      </c>
      <c r="C25" s="4">
        <v>15818</v>
      </c>
      <c r="D25" s="26">
        <v>0.297321</v>
      </c>
      <c r="E25" s="8"/>
      <c r="F25" s="8"/>
      <c r="G25" s="12"/>
      <c r="I25" s="4">
        <v>16</v>
      </c>
      <c r="J25" s="4">
        <v>22511</v>
      </c>
      <c r="K25" s="4">
        <v>15818</v>
      </c>
      <c r="L25" s="26">
        <v>0.297321</v>
      </c>
      <c r="M25" s="8"/>
      <c r="N25" s="8"/>
      <c r="O25" s="12"/>
    </row>
    <row r="26" spans="1:15">
      <c r="A26" s="4">
        <v>17</v>
      </c>
      <c r="B26" s="4">
        <v>12323</v>
      </c>
      <c r="C26" s="4">
        <v>20615</v>
      </c>
      <c r="D26" s="26">
        <v>0.67288800000000004</v>
      </c>
      <c r="E26" s="8"/>
      <c r="F26" s="8"/>
      <c r="G26" s="12"/>
      <c r="I26" s="4">
        <v>17</v>
      </c>
      <c r="J26" s="4">
        <v>12323</v>
      </c>
      <c r="K26" s="4">
        <v>20615</v>
      </c>
      <c r="L26" s="26">
        <v>0.67288800000000004</v>
      </c>
      <c r="M26" s="8"/>
      <c r="N26" s="8"/>
      <c r="O26" s="12"/>
    </row>
    <row r="27" spans="1:15">
      <c r="A27" s="4">
        <v>18</v>
      </c>
      <c r="B27" s="4">
        <v>1117</v>
      </c>
      <c r="C27" s="4">
        <v>6066</v>
      </c>
      <c r="D27" s="26">
        <v>4.4306179999999999</v>
      </c>
      <c r="E27" s="8"/>
      <c r="F27" s="8"/>
      <c r="G27" s="12"/>
      <c r="I27" s="4">
        <v>18</v>
      </c>
      <c r="J27" s="4">
        <v>1117</v>
      </c>
      <c r="K27" s="4">
        <v>6066</v>
      </c>
      <c r="L27" s="26">
        <v>4.4306179999999999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5.7860777900763383E-2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0.10521499999999999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0.21042999999999998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0.22394033333333332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8.9365000000000014E-2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4.1186E-2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5473</v>
      </c>
      <c r="C44" s="4">
        <v>3387.4285709999999</v>
      </c>
      <c r="D44" s="26">
        <v>0.38106499999999999</v>
      </c>
      <c r="E44" s="8"/>
      <c r="F44" s="6" t="s">
        <v>3</v>
      </c>
      <c r="G44" s="24">
        <f>AVERAGE(D52:D54)</f>
        <v>0.12447966666666666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21082</v>
      </c>
      <c r="C45" s="4">
        <v>14952.285714</v>
      </c>
      <c r="D45" s="26">
        <v>0.29075600000000001</v>
      </c>
      <c r="E45" s="8"/>
      <c r="F45" s="6" t="s">
        <v>4</v>
      </c>
      <c r="G45" s="24">
        <f>AVERAGE(D55:D57)</f>
        <v>0.36274899999999999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24064</v>
      </c>
      <c r="C46" s="4">
        <v>20102.857143000001</v>
      </c>
      <c r="D46" s="26">
        <v>0.16460900000000001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25531</v>
      </c>
      <c r="C47" s="4">
        <v>24171</v>
      </c>
      <c r="D47" s="26">
        <v>5.3268999999999997E-2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26963</v>
      </c>
      <c r="C48" s="4">
        <v>25609</v>
      </c>
      <c r="D48" s="26">
        <v>5.0216999999999998E-2</v>
      </c>
      <c r="E48" s="8"/>
      <c r="F48" s="37" t="s">
        <v>18</v>
      </c>
      <c r="G48" s="38">
        <f>SUM(B37:B60)</f>
        <v>235800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26311</v>
      </c>
      <c r="C49" s="4">
        <v>26782</v>
      </c>
      <c r="D49" s="26">
        <v>1.7901E-2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25086</v>
      </c>
      <c r="C50" s="4">
        <v>24612</v>
      </c>
      <c r="D50" s="26">
        <v>1.8894999999999999E-2</v>
      </c>
      <c r="E50" s="8"/>
      <c r="F50" s="37" t="s">
        <v>19</v>
      </c>
      <c r="G50" s="38">
        <f>SUM(C37:C60)</f>
        <v>222156.428571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25472</v>
      </c>
      <c r="C51" s="4">
        <v>23262</v>
      </c>
      <c r="D51" s="26">
        <v>8.6762000000000006E-2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19867</v>
      </c>
      <c r="C52" s="4">
        <v>23920</v>
      </c>
      <c r="D52" s="26">
        <v>0.20400699999999999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22511</v>
      </c>
      <c r="C53" s="4">
        <v>19992.857143000001</v>
      </c>
      <c r="D53" s="26">
        <v>0.111863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12323</v>
      </c>
      <c r="C54" s="4">
        <v>13032.428571</v>
      </c>
      <c r="D54" s="26">
        <v>5.7569000000000002E-2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1117</v>
      </c>
      <c r="C55" s="4">
        <v>2332.5714290000001</v>
      </c>
      <c r="D55" s="26">
        <v>1.088247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88900</xdr:rowOff>
                  </from>
                  <to>
                    <xdr:col>17</xdr:col>
                    <xdr:colOff>127000</xdr:colOff>
                    <xdr:row>57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88900</xdr:rowOff>
                  </from>
                  <to>
                    <xdr:col>17</xdr:col>
                    <xdr:colOff>127000</xdr:colOff>
                    <xdr:row>59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9A20-35E5-B840-AC93-49A611870681}">
  <sheetPr codeName="Sheet9">
    <pageSetUpPr fitToPage="1"/>
  </sheetPr>
  <dimension ref="A1:W60"/>
  <sheetViews>
    <sheetView zoomScale="78" workbookViewId="0">
      <selection activeCell="Q29" sqref="Q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29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6" t="s">
        <v>6</v>
      </c>
      <c r="G4" s="6" t="s">
        <v>7</v>
      </c>
      <c r="H4" s="6" t="s">
        <v>8</v>
      </c>
      <c r="I4" s="6" t="s">
        <v>9</v>
      </c>
    </row>
    <row r="5" spans="1:23">
      <c r="F5" s="6">
        <v>8</v>
      </c>
      <c r="G5" s="6">
        <v>1</v>
      </c>
      <c r="H5" s="6">
        <v>2</v>
      </c>
      <c r="I5" s="6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6" t="s">
        <v>15</v>
      </c>
      <c r="G9" s="28">
        <f>ABS(G22/G20-1)</f>
        <v>1.096452236169887E-2</v>
      </c>
      <c r="I9" s="4">
        <v>0</v>
      </c>
      <c r="J9" s="4">
        <v>0</v>
      </c>
      <c r="K9" s="4">
        <v>0</v>
      </c>
      <c r="L9" s="4">
        <v>0</v>
      </c>
      <c r="M9" s="8"/>
      <c r="N9" s="6" t="s">
        <v>15</v>
      </c>
      <c r="O9" s="28">
        <f>ABS(O22/O20-1)</f>
        <v>3.5157592783566227E-2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6" t="s">
        <v>16</v>
      </c>
      <c r="G10" s="24">
        <f>AVERAGE(D9:D32)</f>
        <v>0.29512734160341048</v>
      </c>
      <c r="I10" s="4">
        <v>1</v>
      </c>
      <c r="J10" s="4">
        <v>0</v>
      </c>
      <c r="K10" s="4">
        <v>0</v>
      </c>
      <c r="L10" s="4">
        <v>0</v>
      </c>
      <c r="M10" s="8"/>
      <c r="N10" s="6" t="s">
        <v>16</v>
      </c>
      <c r="O10" s="24">
        <f>AVERAGE(L9:L32)</f>
        <v>0.30384175835216004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6" t="s">
        <v>17</v>
      </c>
      <c r="G11" s="24">
        <f>AVERAGE(D16:D27)</f>
        <v>0.59025468320682095</v>
      </c>
      <c r="I11" s="4">
        <v>2</v>
      </c>
      <c r="J11" s="4">
        <v>0</v>
      </c>
      <c r="K11" s="4">
        <v>0</v>
      </c>
      <c r="L11" s="4">
        <v>0</v>
      </c>
      <c r="M11" s="8"/>
      <c r="N11" s="6" t="s">
        <v>17</v>
      </c>
      <c r="O11" s="24">
        <f>AVERAGE(L16:L27)</f>
        <v>0.60768351670432008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0.22208551833690771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0.23569415842751981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6" t="s">
        <v>1</v>
      </c>
      <c r="G14" s="24">
        <f>AVERAGE(D18:D20)</f>
        <v>5.3687979989216927E-2</v>
      </c>
      <c r="I14" s="4">
        <v>5</v>
      </c>
      <c r="J14" s="4">
        <v>0</v>
      </c>
      <c r="K14" s="4">
        <v>0</v>
      </c>
      <c r="L14" s="4">
        <v>0</v>
      </c>
      <c r="M14" s="8"/>
      <c r="N14" s="6" t="s">
        <v>1</v>
      </c>
      <c r="O14" s="24">
        <f>AVERAGE(L18:L20)</f>
        <v>0.10979467388860176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6" t="s">
        <v>2</v>
      </c>
      <c r="G15" s="24">
        <f>AVERAGE(D21:D23)</f>
        <v>4.6842753341979515E-2</v>
      </c>
      <c r="I15" s="4">
        <v>6</v>
      </c>
      <c r="J15" s="4">
        <v>0</v>
      </c>
      <c r="K15" s="4">
        <v>0</v>
      </c>
      <c r="L15" s="4">
        <v>0</v>
      </c>
      <c r="M15" s="8"/>
      <c r="N15" s="6" t="s">
        <v>2</v>
      </c>
      <c r="O15" s="24">
        <f>AVERAGE(L21:L23)</f>
        <v>4.6842753341979515E-2</v>
      </c>
    </row>
    <row r="16" spans="1:23">
      <c r="A16" s="4">
        <v>7</v>
      </c>
      <c r="B16" s="4">
        <v>6439</v>
      </c>
      <c r="C16" s="4">
        <v>5109</v>
      </c>
      <c r="D16" s="26">
        <f t="shared" ref="D16:D27" si="0">ABS(C16/B16-1)</f>
        <v>0.20655381270383599</v>
      </c>
      <c r="E16" s="8"/>
      <c r="F16" s="6" t="s">
        <v>3</v>
      </c>
      <c r="G16" s="24">
        <f>AVERAGE(D24:D26)</f>
        <v>0.3913436576297678</v>
      </c>
      <c r="I16" s="4">
        <v>7</v>
      </c>
      <c r="J16" s="4">
        <v>6439</v>
      </c>
      <c r="K16" s="4">
        <v>3942.2857140000001</v>
      </c>
      <c r="L16" s="26">
        <f t="shared" ref="L16:L27" si="1">ABS(K16/J16-1)</f>
        <v>0.3877487631619817</v>
      </c>
      <c r="M16" s="8"/>
      <c r="N16" s="6" t="s">
        <v>3</v>
      </c>
      <c r="O16" s="24">
        <f>AVERAGE(L24:L26)</f>
        <v>0.3913436576297678</v>
      </c>
    </row>
    <row r="17" spans="1:15">
      <c r="A17" s="4">
        <v>8</v>
      </c>
      <c r="B17" s="4">
        <v>23885</v>
      </c>
      <c r="C17" s="4">
        <v>12905</v>
      </c>
      <c r="D17" s="26">
        <f t="shared" si="0"/>
        <v>0.45970274230688712</v>
      </c>
      <c r="E17" s="8"/>
      <c r="F17" s="6" t="s">
        <v>4</v>
      </c>
      <c r="G17" s="24">
        <f>AVERAGE(D27:D29)</f>
        <v>1.6470588235294119</v>
      </c>
      <c r="I17" s="4">
        <v>8</v>
      </c>
      <c r="J17" s="4">
        <v>23885</v>
      </c>
      <c r="K17" s="4">
        <v>16257.714286</v>
      </c>
      <c r="L17" s="26">
        <f t="shared" si="1"/>
        <v>0.31933371212057771</v>
      </c>
      <c r="M17" s="8"/>
      <c r="N17" s="6" t="s">
        <v>4</v>
      </c>
      <c r="O17" s="24">
        <f>AVERAGE(L27:L29)</f>
        <v>1.6470588235294119</v>
      </c>
    </row>
    <row r="18" spans="1:15">
      <c r="A18" s="4">
        <v>9</v>
      </c>
      <c r="B18" s="4">
        <v>27418</v>
      </c>
      <c r="C18" s="4">
        <v>29265</v>
      </c>
      <c r="D18" s="26">
        <f t="shared" si="0"/>
        <v>6.7364505069662295E-2</v>
      </c>
      <c r="E18" s="8"/>
      <c r="F18" s="8"/>
      <c r="G18" s="12"/>
      <c r="I18" s="4">
        <v>9</v>
      </c>
      <c r="J18" s="4">
        <v>27418</v>
      </c>
      <c r="K18" s="4">
        <v>20956</v>
      </c>
      <c r="L18" s="26">
        <f t="shared" si="1"/>
        <v>0.23568458676781678</v>
      </c>
      <c r="M18" s="8"/>
      <c r="N18" s="8"/>
      <c r="O18" s="12"/>
    </row>
    <row r="19" spans="1:15">
      <c r="A19" s="4">
        <v>10</v>
      </c>
      <c r="B19" s="4">
        <v>27103</v>
      </c>
      <c r="C19" s="4">
        <v>27648</v>
      </c>
      <c r="D19" s="26">
        <f t="shared" si="0"/>
        <v>2.0108475076559884E-2</v>
      </c>
      <c r="E19" s="8"/>
      <c r="F19" s="8"/>
      <c r="G19" s="12"/>
      <c r="I19" s="4">
        <v>10</v>
      </c>
      <c r="J19" s="4">
        <v>27103</v>
      </c>
      <c r="K19" s="4">
        <v>27648</v>
      </c>
      <c r="L19" s="26">
        <f t="shared" si="1"/>
        <v>2.0108475076559884E-2</v>
      </c>
      <c r="M19" s="8"/>
      <c r="N19" s="8"/>
      <c r="O19" s="12"/>
    </row>
    <row r="20" spans="1:15" ht="16" customHeight="1">
      <c r="A20" s="4">
        <v>11</v>
      </c>
      <c r="B20" s="4">
        <v>28672</v>
      </c>
      <c r="C20" s="4">
        <v>26562</v>
      </c>
      <c r="D20" s="26">
        <f t="shared" si="0"/>
        <v>7.3590959821428603E-2</v>
      </c>
      <c r="E20" s="8"/>
      <c r="F20" s="37" t="s">
        <v>18</v>
      </c>
      <c r="G20" s="38">
        <f>SUM(B9:B32)</f>
        <v>253089</v>
      </c>
      <c r="I20" s="4">
        <v>11</v>
      </c>
      <c r="J20" s="4">
        <v>28672</v>
      </c>
      <c r="K20" s="4">
        <v>26562</v>
      </c>
      <c r="L20" s="26">
        <f t="shared" si="1"/>
        <v>7.3590959821428603E-2</v>
      </c>
      <c r="M20" s="8"/>
      <c r="N20" s="37" t="s">
        <v>18</v>
      </c>
      <c r="O20" s="38">
        <f>SUM(J9:J32)</f>
        <v>253089</v>
      </c>
    </row>
    <row r="21" spans="1:15">
      <c r="A21" s="4">
        <v>12</v>
      </c>
      <c r="B21" s="4">
        <v>27874</v>
      </c>
      <c r="C21" s="4">
        <v>28597</v>
      </c>
      <c r="D21" s="26">
        <f t="shared" si="0"/>
        <v>2.5938150247542424E-2</v>
      </c>
      <c r="E21" s="8"/>
      <c r="F21" s="37"/>
      <c r="G21" s="38"/>
      <c r="I21" s="4">
        <v>12</v>
      </c>
      <c r="J21" s="4">
        <v>27874</v>
      </c>
      <c r="K21" s="4">
        <v>28597</v>
      </c>
      <c r="L21" s="26">
        <f t="shared" si="1"/>
        <v>2.5938150247542424E-2</v>
      </c>
      <c r="M21" s="8"/>
      <c r="N21" s="37"/>
      <c r="O21" s="38"/>
    </row>
    <row r="22" spans="1:15" ht="16" customHeight="1">
      <c r="A22" s="4">
        <v>13</v>
      </c>
      <c r="B22" s="4">
        <v>26562</v>
      </c>
      <c r="C22" s="4">
        <v>26080</v>
      </c>
      <c r="D22" s="26">
        <f t="shared" si="0"/>
        <v>1.8146223928921068E-2</v>
      </c>
      <c r="E22" s="8"/>
      <c r="F22" s="37" t="s">
        <v>19</v>
      </c>
      <c r="G22" s="38">
        <f>SUM(C9:C32)</f>
        <v>250314</v>
      </c>
      <c r="I22" s="4">
        <v>13</v>
      </c>
      <c r="J22" s="4">
        <v>26562</v>
      </c>
      <c r="K22" s="4">
        <v>26080</v>
      </c>
      <c r="L22" s="26">
        <f t="shared" si="1"/>
        <v>1.8146223928921068E-2</v>
      </c>
      <c r="M22" s="8"/>
      <c r="N22" s="37" t="s">
        <v>19</v>
      </c>
      <c r="O22" s="38">
        <f>SUM(K9:K32)</f>
        <v>244191</v>
      </c>
    </row>
    <row r="23" spans="1:15">
      <c r="A23" s="4">
        <v>14</v>
      </c>
      <c r="B23" s="4">
        <v>27052</v>
      </c>
      <c r="C23" s="4">
        <v>24443</v>
      </c>
      <c r="D23" s="26">
        <f t="shared" si="0"/>
        <v>9.6443885849475053E-2</v>
      </c>
      <c r="E23" s="8"/>
      <c r="F23" s="37"/>
      <c r="G23" s="38"/>
      <c r="I23" s="4">
        <v>14</v>
      </c>
      <c r="J23" s="4">
        <v>27052</v>
      </c>
      <c r="K23" s="4">
        <v>24443</v>
      </c>
      <c r="L23" s="26">
        <f t="shared" si="1"/>
        <v>9.6443885849475053E-2</v>
      </c>
      <c r="M23" s="8"/>
      <c r="N23" s="37"/>
      <c r="O23" s="38"/>
    </row>
    <row r="24" spans="1:15">
      <c r="A24" s="4">
        <v>15</v>
      </c>
      <c r="B24" s="4">
        <v>20626</v>
      </c>
      <c r="C24" s="4">
        <v>25394</v>
      </c>
      <c r="D24" s="26">
        <f t="shared" si="0"/>
        <v>0.23116454959759536</v>
      </c>
      <c r="E24" s="8"/>
      <c r="F24" s="8"/>
      <c r="G24" s="12"/>
      <c r="I24" s="4">
        <v>15</v>
      </c>
      <c r="J24" s="4">
        <v>20626</v>
      </c>
      <c r="K24" s="4">
        <v>25394</v>
      </c>
      <c r="L24" s="26">
        <f t="shared" si="1"/>
        <v>0.23116454959759536</v>
      </c>
      <c r="M24" s="8"/>
      <c r="N24" s="8"/>
      <c r="O24" s="12"/>
    </row>
    <row r="25" spans="1:15">
      <c r="A25" s="4">
        <v>16</v>
      </c>
      <c r="B25" s="4">
        <v>23483</v>
      </c>
      <c r="C25" s="4">
        <v>16497</v>
      </c>
      <c r="D25" s="26">
        <f t="shared" si="0"/>
        <v>0.29749180258059016</v>
      </c>
      <c r="E25" s="8"/>
      <c r="F25" s="8"/>
      <c r="G25" s="12"/>
      <c r="I25" s="4">
        <v>16</v>
      </c>
      <c r="J25" s="4">
        <v>23483</v>
      </c>
      <c r="K25" s="4">
        <v>16497</v>
      </c>
      <c r="L25" s="26">
        <f t="shared" si="1"/>
        <v>0.29749180258059016</v>
      </c>
      <c r="M25" s="8"/>
      <c r="N25" s="8"/>
      <c r="O25" s="12"/>
    </row>
    <row r="26" spans="1:15">
      <c r="A26" s="4">
        <v>17</v>
      </c>
      <c r="B26" s="4">
        <v>12853</v>
      </c>
      <c r="C26" s="4">
        <v>21148</v>
      </c>
      <c r="D26" s="26">
        <f t="shared" si="0"/>
        <v>0.64537462071111795</v>
      </c>
      <c r="E26" s="8"/>
      <c r="F26" s="8"/>
      <c r="G26" s="12"/>
      <c r="I26" s="4">
        <v>17</v>
      </c>
      <c r="J26" s="4">
        <v>12853</v>
      </c>
      <c r="K26" s="4">
        <v>21148</v>
      </c>
      <c r="L26" s="26">
        <f t="shared" si="1"/>
        <v>0.64537462071111795</v>
      </c>
      <c r="M26" s="8"/>
      <c r="N26" s="8"/>
      <c r="O26" s="12"/>
    </row>
    <row r="27" spans="1:15">
      <c r="A27" s="4">
        <v>18</v>
      </c>
      <c r="B27" s="4">
        <v>1122</v>
      </c>
      <c r="C27" s="4">
        <v>6666</v>
      </c>
      <c r="D27" s="26">
        <f t="shared" si="0"/>
        <v>4.9411764705882355</v>
      </c>
      <c r="E27" s="8"/>
      <c r="F27" s="8"/>
      <c r="G27" s="12"/>
      <c r="I27" s="4">
        <v>18</v>
      </c>
      <c r="J27" s="4">
        <v>1122</v>
      </c>
      <c r="K27" s="4">
        <v>6666</v>
      </c>
      <c r="L27" s="26">
        <f t="shared" si="1"/>
        <v>4.9411764705882355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6" t="s">
        <v>15</v>
      </c>
      <c r="G37" s="28">
        <f>ABS(G50/G48-1)</f>
        <v>6.406385557254568E-2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6" t="s">
        <v>16</v>
      </c>
      <c r="G38" s="24">
        <f>AVERAGE(D37:D60)</f>
        <v>0.12121742736301076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6" t="s">
        <v>17</v>
      </c>
      <c r="G39" s="24">
        <f>AVERAGE(D44:D55)</f>
        <v>0.24243485472602153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0.23569415842751981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6" t="s">
        <v>1</v>
      </c>
      <c r="G42" s="24">
        <f>AVERAGE(D46:D48)</f>
        <v>0.10979467388860176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6" t="s">
        <v>2</v>
      </c>
      <c r="G43" s="24">
        <f>AVERAGE(D49:D51)</f>
        <v>4.6842753341979515E-2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6439</v>
      </c>
      <c r="C44" s="4">
        <v>3942.2857140000001</v>
      </c>
      <c r="D44" s="26">
        <f t="shared" ref="D44:D55" si="2">ABS(C44/B44-1)</f>
        <v>0.3877487631619817</v>
      </c>
      <c r="E44" s="8"/>
      <c r="F44" s="6" t="s">
        <v>3</v>
      </c>
      <c r="G44" s="24">
        <f>AVERAGE(D52:D54)</f>
        <v>0.13440639028698342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23885</v>
      </c>
      <c r="C45" s="4">
        <v>16257.714286</v>
      </c>
      <c r="D45" s="26">
        <f t="shared" si="2"/>
        <v>0.31933371212057771</v>
      </c>
      <c r="E45" s="8"/>
      <c r="F45" s="6" t="s">
        <v>4</v>
      </c>
      <c r="G45" s="24">
        <f>AVERAGE(D55:D57)</f>
        <v>0.44300144295900168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27418</v>
      </c>
      <c r="C46" s="4">
        <v>20956</v>
      </c>
      <c r="D46" s="26">
        <f t="shared" si="2"/>
        <v>0.23568458676781678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27103</v>
      </c>
      <c r="C47" s="4">
        <v>27648</v>
      </c>
      <c r="D47" s="26">
        <f t="shared" si="2"/>
        <v>2.0108475076559884E-2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28672</v>
      </c>
      <c r="C48" s="4">
        <v>26562</v>
      </c>
      <c r="D48" s="26">
        <f t="shared" si="2"/>
        <v>7.3590959821428603E-2</v>
      </c>
      <c r="E48" s="8"/>
      <c r="F48" s="37" t="s">
        <v>18</v>
      </c>
      <c r="G48" s="38">
        <f>SUM(B37:B60)</f>
        <v>253089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27874</v>
      </c>
      <c r="C49" s="4">
        <v>28597</v>
      </c>
      <c r="D49" s="26">
        <f t="shared" si="2"/>
        <v>2.5938150247542424E-2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26562</v>
      </c>
      <c r="C50" s="4">
        <v>26080</v>
      </c>
      <c r="D50" s="26">
        <f t="shared" si="2"/>
        <v>1.8146223928921068E-2</v>
      </c>
      <c r="E50" s="8"/>
      <c r="F50" s="37" t="s">
        <v>19</v>
      </c>
      <c r="G50" s="38">
        <f>SUM(C37:C60)</f>
        <v>236875.142857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27052</v>
      </c>
      <c r="C51" s="4">
        <v>24443</v>
      </c>
      <c r="D51" s="26">
        <f t="shared" si="2"/>
        <v>9.6443885849475053E-2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20626</v>
      </c>
      <c r="C52" s="4">
        <v>25394</v>
      </c>
      <c r="D52" s="26">
        <f t="shared" si="2"/>
        <v>0.23116454959759536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23483</v>
      </c>
      <c r="C53" s="4">
        <v>20791</v>
      </c>
      <c r="D53" s="26">
        <f t="shared" si="2"/>
        <v>0.11463611974619936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12853</v>
      </c>
      <c r="C54" s="4">
        <v>13591</v>
      </c>
      <c r="D54" s="26">
        <f t="shared" si="2"/>
        <v>5.7418501517155551E-2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1122</v>
      </c>
      <c r="C55" s="4">
        <v>2613.1428569999998</v>
      </c>
      <c r="D55" s="26">
        <f t="shared" si="2"/>
        <v>1.329004328877005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56</xdr:row>
                    <xdr:rowOff>101600</xdr:rowOff>
                  </from>
                  <to>
                    <xdr:col>17</xdr:col>
                    <xdr:colOff>114300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88900</xdr:rowOff>
                  </from>
                  <to>
                    <xdr:col>17</xdr:col>
                    <xdr:colOff>114300</xdr:colOff>
                    <xdr:row>59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11E6F-59EB-3F4C-A647-3A371DBE1FBF}">
  <sheetPr codeName="Sheet10">
    <pageSetUpPr fitToPage="1"/>
  </sheetPr>
  <dimension ref="A1:W60"/>
  <sheetViews>
    <sheetView topLeftCell="C2" zoomScale="84" workbookViewId="0">
      <selection activeCell="R21" sqref="R2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3.8745087761684616E-2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2.8019233806846344E-3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0.12476059555956975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0.11344015365196147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0.24952119111913951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0.22688030730392295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0.23743344720997595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0.15074350676908654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6.0099491889106717E-2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5.6225897069129692E-2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5.687267889410319E-2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5.687267889410319E-2</v>
      </c>
    </row>
    <row r="16" spans="1:23">
      <c r="A16" s="4">
        <v>7</v>
      </c>
      <c r="B16" s="4">
        <v>8425</v>
      </c>
      <c r="C16" s="4">
        <v>8962</v>
      </c>
      <c r="D16" s="26">
        <f t="shared" ref="D16:D26" si="0">ABS(C16/B16-1)</f>
        <v>6.3738872403560798E-2</v>
      </c>
      <c r="E16" s="8"/>
      <c r="F16" s="15" t="s">
        <v>3</v>
      </c>
      <c r="G16" s="24">
        <f>AVERAGE(D24:D26)</f>
        <v>0.31034581315003895</v>
      </c>
      <c r="I16" s="4">
        <v>7</v>
      </c>
      <c r="J16" s="4">
        <v>8425</v>
      </c>
      <c r="K16" s="4">
        <v>5241.5714289999996</v>
      </c>
      <c r="L16" s="26">
        <f t="shared" ref="L16:L26" si="1">ABS(K16/J16-1)</f>
        <v>0.37785502326409504</v>
      </c>
      <c r="M16" s="8"/>
      <c r="N16" s="15" t="s">
        <v>3</v>
      </c>
      <c r="O16" s="24">
        <f>AVERAGE(L24:L26)</f>
        <v>0.31034581315003895</v>
      </c>
    </row>
    <row r="17" spans="1:15">
      <c r="A17" s="4">
        <v>8</v>
      </c>
      <c r="B17" s="4">
        <v>57663</v>
      </c>
      <c r="C17" s="4">
        <v>20265</v>
      </c>
      <c r="D17" s="26">
        <f t="shared" si="0"/>
        <v>0.64856146922636704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57663</v>
      </c>
      <c r="K17" s="4">
        <v>53374.285713999998</v>
      </c>
      <c r="L17" s="26">
        <f t="shared" si="1"/>
        <v>7.4375497043164596E-2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90257</v>
      </c>
      <c r="C18" s="4">
        <v>81120</v>
      </c>
      <c r="D18" s="26">
        <f t="shared" si="0"/>
        <v>0.1012331453516071</v>
      </c>
      <c r="E18" s="8"/>
      <c r="F18" s="8"/>
      <c r="G18" s="12"/>
      <c r="I18" s="4">
        <v>9</v>
      </c>
      <c r="J18" s="4">
        <v>90257</v>
      </c>
      <c r="K18" s="4">
        <v>82168.857143000001</v>
      </c>
      <c r="L18" s="26">
        <f t="shared" si="1"/>
        <v>8.9612360891676013E-2</v>
      </c>
      <c r="M18" s="8"/>
      <c r="N18" s="8"/>
      <c r="O18" s="12"/>
    </row>
    <row r="19" spans="1:15">
      <c r="A19" s="4">
        <v>10</v>
      </c>
      <c r="B19" s="4">
        <v>95864</v>
      </c>
      <c r="C19" s="4">
        <v>94625</v>
      </c>
      <c r="D19" s="26">
        <f t="shared" si="0"/>
        <v>1.2924559793040191E-2</v>
      </c>
      <c r="E19" s="8"/>
      <c r="F19" s="8"/>
      <c r="G19" s="12"/>
      <c r="I19" s="4">
        <v>10</v>
      </c>
      <c r="J19" s="4">
        <v>95864</v>
      </c>
      <c r="K19" s="4">
        <v>94625</v>
      </c>
      <c r="L19" s="26">
        <f t="shared" si="1"/>
        <v>1.2924559793040191E-2</v>
      </c>
      <c r="M19" s="8"/>
      <c r="N19" s="8"/>
      <c r="O19" s="12"/>
    </row>
    <row r="20" spans="1:15" ht="16" customHeight="1">
      <c r="A20" s="4">
        <v>11</v>
      </c>
      <c r="B20" s="4">
        <v>98245</v>
      </c>
      <c r="C20" s="4">
        <v>91747</v>
      </c>
      <c r="D20" s="26">
        <f t="shared" si="0"/>
        <v>6.6140770522672865E-2</v>
      </c>
      <c r="E20" s="8"/>
      <c r="F20" s="37" t="s">
        <v>18</v>
      </c>
      <c r="G20" s="38">
        <f>SUM(B9:B32)</f>
        <v>732609</v>
      </c>
      <c r="I20" s="4">
        <v>11</v>
      </c>
      <c r="J20" s="4">
        <v>98245</v>
      </c>
      <c r="K20" s="4">
        <v>91747</v>
      </c>
      <c r="L20" s="26">
        <f t="shared" si="1"/>
        <v>6.6140770522672865E-2</v>
      </c>
      <c r="M20" s="8"/>
      <c r="N20" s="37" t="s">
        <v>18</v>
      </c>
      <c r="O20" s="38">
        <f>SUM(J9:J32)</f>
        <v>732609</v>
      </c>
    </row>
    <row r="21" spans="1:15">
      <c r="A21" s="4">
        <v>12</v>
      </c>
      <c r="B21" s="4">
        <v>93058</v>
      </c>
      <c r="C21" s="4">
        <v>94879</v>
      </c>
      <c r="D21" s="26">
        <f t="shared" si="0"/>
        <v>1.9568441187216568E-2</v>
      </c>
      <c r="E21" s="8"/>
      <c r="F21" s="37"/>
      <c r="G21" s="38"/>
      <c r="I21" s="4">
        <v>12</v>
      </c>
      <c r="J21" s="4">
        <v>93058</v>
      </c>
      <c r="K21" s="4">
        <v>94879</v>
      </c>
      <c r="L21" s="26">
        <f t="shared" si="1"/>
        <v>1.9568441187216568E-2</v>
      </c>
      <c r="M21" s="8"/>
      <c r="N21" s="37"/>
      <c r="O21" s="38"/>
    </row>
    <row r="22" spans="1:15" ht="16" customHeight="1">
      <c r="A22" s="4">
        <v>13</v>
      </c>
      <c r="B22" s="4">
        <v>91041</v>
      </c>
      <c r="C22" s="4">
        <v>85473</v>
      </c>
      <c r="D22" s="26">
        <f t="shared" si="0"/>
        <v>6.1159257916762799E-2</v>
      </c>
      <c r="E22" s="8"/>
      <c r="F22" s="37" t="s">
        <v>19</v>
      </c>
      <c r="G22" s="38">
        <f>SUM(C9:C32)</f>
        <v>704224</v>
      </c>
      <c r="I22" s="4">
        <v>13</v>
      </c>
      <c r="J22" s="4">
        <v>91041</v>
      </c>
      <c r="K22" s="4">
        <v>85473</v>
      </c>
      <c r="L22" s="26">
        <f t="shared" si="1"/>
        <v>6.1159257916762799E-2</v>
      </c>
      <c r="M22" s="8"/>
      <c r="N22" s="37" t="s">
        <v>19</v>
      </c>
      <c r="O22" s="38">
        <f>SUM(K9:K32)</f>
        <v>734661.714286</v>
      </c>
    </row>
    <row r="23" spans="1:15">
      <c r="A23" s="4">
        <v>14</v>
      </c>
      <c r="B23" s="4">
        <v>79152</v>
      </c>
      <c r="C23" s="4">
        <v>86267</v>
      </c>
      <c r="D23" s="26">
        <f t="shared" si="0"/>
        <v>8.9890337578330204E-2</v>
      </c>
      <c r="E23" s="8"/>
      <c r="F23" s="37"/>
      <c r="G23" s="38"/>
      <c r="I23" s="4">
        <v>14</v>
      </c>
      <c r="J23" s="4">
        <v>79152</v>
      </c>
      <c r="K23" s="4">
        <v>86267</v>
      </c>
      <c r="L23" s="26">
        <f t="shared" si="1"/>
        <v>8.9890337578330204E-2</v>
      </c>
      <c r="M23" s="8"/>
      <c r="N23" s="37"/>
      <c r="O23" s="38"/>
    </row>
    <row r="24" spans="1:15">
      <c r="A24" s="4">
        <v>15</v>
      </c>
      <c r="B24" s="4">
        <v>65986</v>
      </c>
      <c r="C24" s="4">
        <v>69986</v>
      </c>
      <c r="D24" s="26">
        <f t="shared" si="0"/>
        <v>6.0618919164671325E-2</v>
      </c>
      <c r="E24" s="8"/>
      <c r="F24" s="8"/>
      <c r="G24" s="12"/>
      <c r="I24" s="4">
        <v>15</v>
      </c>
      <c r="J24" s="4">
        <v>65986</v>
      </c>
      <c r="K24" s="4">
        <v>69986</v>
      </c>
      <c r="L24" s="26">
        <f t="shared" si="1"/>
        <v>6.0618919164671325E-2</v>
      </c>
      <c r="M24" s="8"/>
      <c r="N24" s="8"/>
      <c r="O24" s="12"/>
    </row>
    <row r="25" spans="1:15">
      <c r="A25" s="4">
        <v>16</v>
      </c>
      <c r="B25" s="4">
        <v>39226</v>
      </c>
      <c r="C25" s="4">
        <v>52494</v>
      </c>
      <c r="D25" s="26">
        <f t="shared" si="0"/>
        <v>0.3382450415540712</v>
      </c>
      <c r="E25" s="8"/>
      <c r="F25" s="8"/>
      <c r="G25" s="12"/>
      <c r="I25" s="4">
        <v>16</v>
      </c>
      <c r="J25" s="4">
        <v>39226</v>
      </c>
      <c r="K25" s="4">
        <v>52494</v>
      </c>
      <c r="L25" s="26">
        <f t="shared" si="1"/>
        <v>0.3382450415540712</v>
      </c>
      <c r="M25" s="8"/>
      <c r="N25" s="8"/>
      <c r="O25" s="12"/>
    </row>
    <row r="26" spans="1:15">
      <c r="A26" s="4">
        <v>17</v>
      </c>
      <c r="B26" s="4">
        <v>12013</v>
      </c>
      <c r="C26" s="4">
        <v>18406</v>
      </c>
      <c r="D26" s="26">
        <f t="shared" si="0"/>
        <v>0.53217347873137433</v>
      </c>
      <c r="E26" s="8"/>
      <c r="F26" s="8"/>
      <c r="G26" s="12"/>
      <c r="I26" s="4">
        <v>17</v>
      </c>
      <c r="J26" s="4">
        <v>12013</v>
      </c>
      <c r="K26" s="4">
        <v>18406</v>
      </c>
      <c r="L26" s="26">
        <f t="shared" si="1"/>
        <v>0.53217347873137433</v>
      </c>
      <c r="M26" s="8"/>
      <c r="N26" s="8"/>
      <c r="O26" s="12"/>
    </row>
    <row r="27" spans="1:15">
      <c r="A27" s="4">
        <v>18</v>
      </c>
      <c r="B27" s="4">
        <v>1679</v>
      </c>
      <c r="C27" s="4">
        <v>0</v>
      </c>
      <c r="D27" s="4">
        <v>1</v>
      </c>
      <c r="E27" s="8"/>
      <c r="F27" s="8"/>
      <c r="G27" s="12"/>
      <c r="I27" s="4">
        <v>18</v>
      </c>
      <c r="J27" s="4">
        <v>1679</v>
      </c>
      <c r="K27" s="4">
        <v>0</v>
      </c>
      <c r="L27" s="4"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6.9377097079069472E-2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0.26573978419747391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0.53147956839494781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0.15074350676908654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5.6225897069129692E-2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5.687267889410319E-2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8425</v>
      </c>
      <c r="C44" s="4">
        <v>5241.5714289999996</v>
      </c>
      <c r="D44" s="26">
        <f t="shared" ref="D44:D55" si="2">ABS(C44/B44-1)</f>
        <v>0.37785502326409504</v>
      </c>
      <c r="E44" s="8"/>
      <c r="F44" s="15" t="s">
        <v>3</v>
      </c>
      <c r="G44" s="24">
        <f>AVERAGE(D52:D54)</f>
        <v>1.1780522537817582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57663</v>
      </c>
      <c r="C45" s="4">
        <v>53374.285713999998</v>
      </c>
      <c r="D45" s="26">
        <f t="shared" si="2"/>
        <v>7.4375497043164596E-2</v>
      </c>
      <c r="E45" s="8"/>
      <c r="F45" s="15" t="s">
        <v>4</v>
      </c>
      <c r="G45" s="24">
        <f>AVERAGE(D55:D57)</f>
        <v>0.68402393706571374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90257</v>
      </c>
      <c r="C46" s="4">
        <v>82168.857143000001</v>
      </c>
      <c r="D46" s="26">
        <f t="shared" si="2"/>
        <v>8.9612360891676013E-2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95864</v>
      </c>
      <c r="C47" s="4">
        <v>94625</v>
      </c>
      <c r="D47" s="26">
        <f t="shared" si="2"/>
        <v>1.2924559793040191E-2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98245</v>
      </c>
      <c r="C48" s="4">
        <v>91747</v>
      </c>
      <c r="D48" s="26">
        <f t="shared" si="2"/>
        <v>6.6140770522672865E-2</v>
      </c>
      <c r="E48" s="8"/>
      <c r="F48" s="37" t="s">
        <v>18</v>
      </c>
      <c r="G48" s="38">
        <f>SUM(B37:B60)</f>
        <v>732609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93058</v>
      </c>
      <c r="C49" s="4">
        <v>94879</v>
      </c>
      <c r="D49" s="26">
        <f t="shared" si="2"/>
        <v>1.9568441187216568E-2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91041</v>
      </c>
      <c r="C50" s="4">
        <v>85473</v>
      </c>
      <c r="D50" s="26">
        <f t="shared" si="2"/>
        <v>6.1159257916762799E-2</v>
      </c>
      <c r="E50" s="8"/>
      <c r="F50" s="37" t="s">
        <v>19</v>
      </c>
      <c r="G50" s="38">
        <f>SUM(C37:C60)</f>
        <v>783435.285714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79152</v>
      </c>
      <c r="C51" s="4">
        <v>86267</v>
      </c>
      <c r="D51" s="26">
        <f t="shared" si="2"/>
        <v>8.9890337578330204E-2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65986</v>
      </c>
      <c r="C52" s="4">
        <v>69986</v>
      </c>
      <c r="D52" s="26">
        <f t="shared" si="2"/>
        <v>6.0618919164671325E-2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39226</v>
      </c>
      <c r="C53" s="4">
        <v>70336</v>
      </c>
      <c r="D53" s="26">
        <f t="shared" si="2"/>
        <v>0.79309641564268607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12013</v>
      </c>
      <c r="C54" s="4">
        <v>44213.142856999999</v>
      </c>
      <c r="D54" s="26">
        <f t="shared" si="2"/>
        <v>2.6804414265379171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1679</v>
      </c>
      <c r="C55" s="4">
        <v>5124.4285710000004</v>
      </c>
      <c r="D55" s="26">
        <f t="shared" si="2"/>
        <v>2.0520718111971412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35:G35"/>
    <mergeCell ref="F36:G36"/>
    <mergeCell ref="F48:F49"/>
    <mergeCell ref="G48:G49"/>
    <mergeCell ref="F50:F51"/>
    <mergeCell ref="G50:G51"/>
    <mergeCell ref="F20:F21"/>
    <mergeCell ref="G20:G21"/>
    <mergeCell ref="N20:N21"/>
    <mergeCell ref="O20:O21"/>
    <mergeCell ref="F22:F23"/>
    <mergeCell ref="G22:G23"/>
    <mergeCell ref="N22:N23"/>
    <mergeCell ref="O22:O23"/>
    <mergeCell ref="A1:O1"/>
    <mergeCell ref="F3:I3"/>
    <mergeCell ref="A7:G7"/>
    <mergeCell ref="I7:O7"/>
    <mergeCell ref="F8:G8"/>
    <mergeCell ref="N8:O8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139700</xdr:rowOff>
                  </from>
                  <to>
                    <xdr:col>17</xdr:col>
                    <xdr:colOff>88900</xdr:colOff>
                    <xdr:row>57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reateChart2">
                <anchor moveWithCells="1" sizeWithCells="1">
                  <from>
                    <xdr:col>14</xdr:col>
                    <xdr:colOff>825500</xdr:colOff>
                    <xdr:row>58</xdr:row>
                    <xdr:rowOff>127000</xdr:rowOff>
                  </from>
                  <to>
                    <xdr:col>17</xdr:col>
                    <xdr:colOff>88900</xdr:colOff>
                    <xdr:row>59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89F42-4738-2D44-A7D1-814E7D626B6F}">
  <sheetPr codeName="Sheet11">
    <pageSetUpPr fitToPage="1"/>
  </sheetPr>
  <dimension ref="A1:W60"/>
  <sheetViews>
    <sheetView topLeftCell="D1" zoomScale="89" workbookViewId="0">
      <selection activeCell="Q31" sqref="Q3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31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9">
        <v>0</v>
      </c>
      <c r="B9" s="9">
        <v>0</v>
      </c>
      <c r="C9" s="9">
        <v>0</v>
      </c>
      <c r="D9" s="9">
        <v>0</v>
      </c>
      <c r="E9" s="8"/>
      <c r="F9" s="15" t="s">
        <v>15</v>
      </c>
      <c r="G9" s="28">
        <f>ABS(G22/G20-1)</f>
        <v>4.2848877195663659E-3</v>
      </c>
      <c r="I9" s="9">
        <v>0</v>
      </c>
      <c r="J9" s="9">
        <v>0</v>
      </c>
      <c r="K9" s="9">
        <v>0</v>
      </c>
      <c r="L9" s="9">
        <v>0</v>
      </c>
      <c r="M9" s="8"/>
      <c r="N9" s="15" t="s">
        <v>15</v>
      </c>
      <c r="O9" s="28">
        <f>ABS(O22/O20-1)</f>
        <v>6.5573987805809919E-2</v>
      </c>
    </row>
    <row r="10" spans="1:23">
      <c r="A10" s="9">
        <v>1</v>
      </c>
      <c r="B10" s="9">
        <v>0</v>
      </c>
      <c r="C10" s="9">
        <v>0</v>
      </c>
      <c r="D10" s="9">
        <v>0</v>
      </c>
      <c r="E10" s="8"/>
      <c r="F10" s="15" t="s">
        <v>16</v>
      </c>
      <c r="G10" s="24">
        <f>AVERAGE(D9:D32)</f>
        <v>0.1896910343316823</v>
      </c>
      <c r="I10" s="9">
        <v>1</v>
      </c>
      <c r="J10" s="9">
        <v>0</v>
      </c>
      <c r="K10" s="9">
        <v>0</v>
      </c>
      <c r="L10" s="9">
        <v>0</v>
      </c>
      <c r="M10" s="8"/>
      <c r="N10" s="15" t="s">
        <v>16</v>
      </c>
      <c r="O10" s="24">
        <f>AVERAGE(L9:L32)</f>
        <v>0.13075408038404304</v>
      </c>
    </row>
    <row r="11" spans="1:23">
      <c r="A11" s="9">
        <v>2</v>
      </c>
      <c r="B11" s="9">
        <v>0</v>
      </c>
      <c r="C11" s="9">
        <v>0</v>
      </c>
      <c r="D11" s="9">
        <v>0</v>
      </c>
      <c r="E11" s="8"/>
      <c r="F11" s="15" t="s">
        <v>17</v>
      </c>
      <c r="G11" s="24">
        <f>AVERAGE(D16:D27)</f>
        <v>0.3793820686633646</v>
      </c>
      <c r="I11" s="9">
        <v>2</v>
      </c>
      <c r="J11" s="9">
        <v>0</v>
      </c>
      <c r="K11" s="9">
        <v>0</v>
      </c>
      <c r="L11" s="9">
        <v>0</v>
      </c>
      <c r="M11" s="8"/>
      <c r="N11" s="15" t="s">
        <v>17</v>
      </c>
      <c r="O11" s="24">
        <f>AVERAGE(L16:L27)</f>
        <v>0.26150816076808608</v>
      </c>
    </row>
    <row r="12" spans="1:23">
      <c r="A12" s="9">
        <v>3</v>
      </c>
      <c r="B12" s="9">
        <v>0</v>
      </c>
      <c r="C12" s="9">
        <v>0</v>
      </c>
      <c r="D12" s="9">
        <v>0</v>
      </c>
      <c r="E12" s="8"/>
      <c r="F12" s="10"/>
      <c r="G12" s="25"/>
      <c r="I12" s="9">
        <v>3</v>
      </c>
      <c r="J12" s="9">
        <v>0</v>
      </c>
      <c r="K12" s="9">
        <v>0</v>
      </c>
      <c r="L12" s="9">
        <v>0</v>
      </c>
      <c r="M12" s="8"/>
      <c r="N12" s="10"/>
      <c r="O12" s="25"/>
    </row>
    <row r="13" spans="1:23">
      <c r="A13" s="9">
        <v>4</v>
      </c>
      <c r="B13" s="9">
        <v>0</v>
      </c>
      <c r="C13" s="9">
        <v>0</v>
      </c>
      <c r="D13" s="9">
        <v>0</v>
      </c>
      <c r="E13" s="8"/>
      <c r="F13" s="11" t="s">
        <v>0</v>
      </c>
      <c r="G13" s="24">
        <f>AVERAGE(D15:D17)</f>
        <v>0.481419148809419</v>
      </c>
      <c r="I13" s="9">
        <v>4</v>
      </c>
      <c r="J13" s="9">
        <v>0</v>
      </c>
      <c r="K13" s="9">
        <v>0</v>
      </c>
      <c r="L13" s="9">
        <v>0</v>
      </c>
      <c r="M13" s="8"/>
      <c r="N13" s="11" t="s">
        <v>0</v>
      </c>
      <c r="O13" s="24">
        <f>AVERAGE(L15:L17)</f>
        <v>9.1566068529884873E-2</v>
      </c>
    </row>
    <row r="14" spans="1:23">
      <c r="A14" s="9">
        <v>5</v>
      </c>
      <c r="B14" s="9">
        <v>0</v>
      </c>
      <c r="C14" s="9">
        <v>0</v>
      </c>
      <c r="D14" s="9">
        <v>0</v>
      </c>
      <c r="E14" s="8"/>
      <c r="F14" s="15" t="s">
        <v>1</v>
      </c>
      <c r="G14" s="24">
        <f>AVERAGE(D18:D20)</f>
        <v>0.14085721740849511</v>
      </c>
      <c r="I14" s="9">
        <v>5</v>
      </c>
      <c r="J14" s="9">
        <v>0</v>
      </c>
      <c r="K14" s="9">
        <v>0</v>
      </c>
      <c r="L14" s="9">
        <v>0</v>
      </c>
      <c r="M14" s="8"/>
      <c r="N14" s="15" t="s">
        <v>1</v>
      </c>
      <c r="O14" s="24">
        <f>AVERAGE(L18:L20)</f>
        <v>5.9214666106915059E-2</v>
      </c>
    </row>
    <row r="15" spans="1:23">
      <c r="A15" s="9">
        <v>6</v>
      </c>
      <c r="B15" s="9">
        <v>0</v>
      </c>
      <c r="C15" s="9">
        <v>0</v>
      </c>
      <c r="D15" s="9">
        <v>0</v>
      </c>
      <c r="E15" s="8"/>
      <c r="F15" s="15" t="s">
        <v>2</v>
      </c>
      <c r="G15" s="24">
        <f>AVERAGE(D21:D23)</f>
        <v>6.268852546763308E-2</v>
      </c>
      <c r="I15" s="9">
        <v>6</v>
      </c>
      <c r="J15" s="9">
        <v>0</v>
      </c>
      <c r="K15" s="9">
        <v>0</v>
      </c>
      <c r="L15" s="9">
        <v>0</v>
      </c>
      <c r="M15" s="8"/>
      <c r="N15" s="15" t="s">
        <v>2</v>
      </c>
      <c r="O15" s="24">
        <f>AVERAGE(L21:L23)</f>
        <v>6.268852546763308E-2</v>
      </c>
    </row>
    <row r="16" spans="1:23">
      <c r="A16" s="9">
        <v>7</v>
      </c>
      <c r="B16" s="9">
        <v>2678</v>
      </c>
      <c r="C16" s="9">
        <v>390</v>
      </c>
      <c r="D16" s="26">
        <f t="shared" ref="D16:D27" si="0">ABS(C16/B16-1)</f>
        <v>0.85436893203883502</v>
      </c>
      <c r="E16" s="8"/>
      <c r="F16" s="15" t="s">
        <v>3</v>
      </c>
      <c r="G16" s="24">
        <f>AVERAGE(D24:D26)</f>
        <v>0.49923004963457807</v>
      </c>
      <c r="I16" s="9">
        <v>7</v>
      </c>
      <c r="J16" s="9">
        <v>2678</v>
      </c>
      <c r="K16" s="9">
        <v>2173.4285709999999</v>
      </c>
      <c r="L16" s="26">
        <f t="shared" ref="L16:L27" si="1">ABS(K16/J16-1)</f>
        <v>0.18841352837938763</v>
      </c>
      <c r="M16" s="8"/>
      <c r="N16" s="15" t="s">
        <v>3</v>
      </c>
      <c r="O16" s="24">
        <f>AVERAGE(L24:L26)</f>
        <v>0.49923004963457807</v>
      </c>
    </row>
    <row r="17" spans="1:15">
      <c r="A17" s="9">
        <v>8</v>
      </c>
      <c r="B17" s="9">
        <v>19285</v>
      </c>
      <c r="C17" s="9">
        <v>7909</v>
      </c>
      <c r="D17" s="26">
        <f t="shared" si="0"/>
        <v>0.5898885143894218</v>
      </c>
      <c r="E17" s="8"/>
      <c r="F17" s="15" t="s">
        <v>4</v>
      </c>
      <c r="G17" s="24">
        <f>AVERAGE(D27:D29)</f>
        <v>0.33333333333333331</v>
      </c>
      <c r="I17" s="9">
        <v>8</v>
      </c>
      <c r="J17" s="9">
        <v>19285</v>
      </c>
      <c r="K17" s="9">
        <v>20949</v>
      </c>
      <c r="L17" s="26">
        <f t="shared" si="1"/>
        <v>8.6284677210267002E-2</v>
      </c>
      <c r="M17" s="8"/>
      <c r="N17" s="15" t="s">
        <v>4</v>
      </c>
      <c r="O17" s="24">
        <f>AVERAGE(L27:L29)</f>
        <v>0.33333333333333331</v>
      </c>
    </row>
    <row r="18" spans="1:15">
      <c r="A18" s="9">
        <v>9</v>
      </c>
      <c r="B18" s="9">
        <v>43985</v>
      </c>
      <c r="C18" s="9">
        <v>30998</v>
      </c>
      <c r="D18" s="26">
        <f t="shared" si="0"/>
        <v>0.2952597476412413</v>
      </c>
      <c r="E18" s="8"/>
      <c r="F18" s="8"/>
      <c r="G18" s="12"/>
      <c r="I18" s="9">
        <v>9</v>
      </c>
      <c r="J18" s="9">
        <v>43985</v>
      </c>
      <c r="K18" s="9">
        <v>41771.142856999999</v>
      </c>
      <c r="L18" s="26">
        <f t="shared" si="1"/>
        <v>5.033209373650116E-2</v>
      </c>
      <c r="M18" s="8"/>
      <c r="N18" s="8"/>
      <c r="O18" s="12"/>
    </row>
    <row r="19" spans="1:15">
      <c r="A19" s="9">
        <v>10</v>
      </c>
      <c r="B19" s="9">
        <v>49686</v>
      </c>
      <c r="C19" s="9">
        <v>55901</v>
      </c>
      <c r="D19" s="26">
        <f t="shared" si="0"/>
        <v>0.12508553717344917</v>
      </c>
      <c r="E19" s="8"/>
      <c r="F19" s="8"/>
      <c r="G19" s="12"/>
      <c r="I19" s="9">
        <v>10</v>
      </c>
      <c r="J19" s="9">
        <v>49686</v>
      </c>
      <c r="K19" s="9">
        <v>55901</v>
      </c>
      <c r="L19" s="26">
        <f t="shared" si="1"/>
        <v>0.12508553717344917</v>
      </c>
      <c r="M19" s="8"/>
      <c r="N19" s="8"/>
      <c r="O19" s="12"/>
    </row>
    <row r="20" spans="1:15" ht="16" customHeight="1">
      <c r="A20" s="9">
        <v>11</v>
      </c>
      <c r="B20" s="9">
        <v>49857</v>
      </c>
      <c r="C20" s="9">
        <v>49746</v>
      </c>
      <c r="D20" s="26">
        <f t="shared" si="0"/>
        <v>2.2263674107948495E-3</v>
      </c>
      <c r="E20" s="8"/>
      <c r="F20" s="37" t="s">
        <v>18</v>
      </c>
      <c r="G20" s="38">
        <f>SUM(B9:B32)</f>
        <v>366404</v>
      </c>
      <c r="I20" s="9">
        <v>11</v>
      </c>
      <c r="J20" s="9">
        <v>49857</v>
      </c>
      <c r="K20" s="9">
        <v>49746</v>
      </c>
      <c r="L20" s="26">
        <f t="shared" si="1"/>
        <v>2.2263674107948495E-3</v>
      </c>
      <c r="M20" s="8"/>
      <c r="N20" s="37" t="s">
        <v>18</v>
      </c>
      <c r="O20" s="38">
        <f>SUM(J9:J32)</f>
        <v>366404</v>
      </c>
    </row>
    <row r="21" spans="1:15">
      <c r="A21" s="9">
        <v>12</v>
      </c>
      <c r="B21" s="9">
        <v>49624</v>
      </c>
      <c r="C21" s="9">
        <v>49000</v>
      </c>
      <c r="D21" s="26">
        <f t="shared" si="0"/>
        <v>1.2574560696437254E-2</v>
      </c>
      <c r="E21" s="8"/>
      <c r="F21" s="37"/>
      <c r="G21" s="38"/>
      <c r="I21" s="9">
        <v>12</v>
      </c>
      <c r="J21" s="9">
        <v>49624</v>
      </c>
      <c r="K21" s="9">
        <v>49000</v>
      </c>
      <c r="L21" s="26">
        <f t="shared" si="1"/>
        <v>1.2574560696437254E-2</v>
      </c>
      <c r="M21" s="8"/>
      <c r="N21" s="37"/>
      <c r="O21" s="38"/>
    </row>
    <row r="22" spans="1:15" ht="16" customHeight="1">
      <c r="A22" s="9">
        <v>13</v>
      </c>
      <c r="B22" s="9">
        <v>46898</v>
      </c>
      <c r="C22" s="9">
        <v>49311</v>
      </c>
      <c r="D22" s="26">
        <f t="shared" si="0"/>
        <v>5.1452087509062272E-2</v>
      </c>
      <c r="E22" s="8"/>
      <c r="F22" s="37" t="s">
        <v>19</v>
      </c>
      <c r="G22" s="38">
        <f>SUM(C9:C32)</f>
        <v>364834</v>
      </c>
      <c r="I22" s="9">
        <v>13</v>
      </c>
      <c r="J22" s="9">
        <v>46898</v>
      </c>
      <c r="K22" s="9">
        <v>49311</v>
      </c>
      <c r="L22" s="26">
        <f t="shared" si="1"/>
        <v>5.1452087509062272E-2</v>
      </c>
      <c r="M22" s="8"/>
      <c r="N22" s="37" t="s">
        <v>19</v>
      </c>
      <c r="O22" s="38">
        <f>SUM(K9:K32)</f>
        <v>390430.571428</v>
      </c>
    </row>
    <row r="23" spans="1:15">
      <c r="A23" s="9">
        <v>14</v>
      </c>
      <c r="B23" s="9">
        <v>39149</v>
      </c>
      <c r="C23" s="9">
        <v>44005</v>
      </c>
      <c r="D23" s="26">
        <f t="shared" si="0"/>
        <v>0.1240389281973997</v>
      </c>
      <c r="E23" s="8"/>
      <c r="F23" s="37"/>
      <c r="G23" s="38"/>
      <c r="I23" s="9">
        <v>14</v>
      </c>
      <c r="J23" s="9">
        <v>39149</v>
      </c>
      <c r="K23" s="9">
        <v>44005</v>
      </c>
      <c r="L23" s="26">
        <f t="shared" si="1"/>
        <v>0.1240389281973997</v>
      </c>
      <c r="M23" s="8"/>
      <c r="N23" s="37"/>
      <c r="O23" s="38"/>
    </row>
    <row r="24" spans="1:15">
      <c r="A24" s="9">
        <v>15</v>
      </c>
      <c r="B24" s="9">
        <v>33479</v>
      </c>
      <c r="C24" s="9">
        <v>34357</v>
      </c>
      <c r="D24" s="26">
        <f t="shared" si="0"/>
        <v>2.6225395023746323E-2</v>
      </c>
      <c r="E24" s="8"/>
      <c r="F24" s="8"/>
      <c r="G24" s="12"/>
      <c r="I24" s="9">
        <v>15</v>
      </c>
      <c r="J24" s="9">
        <v>33479</v>
      </c>
      <c r="K24" s="9">
        <v>34357</v>
      </c>
      <c r="L24" s="26">
        <f t="shared" si="1"/>
        <v>2.6225395023746323E-2</v>
      </c>
      <c r="M24" s="8"/>
      <c r="N24" s="8"/>
      <c r="O24" s="12"/>
    </row>
    <row r="25" spans="1:15">
      <c r="A25" s="9">
        <v>16</v>
      </c>
      <c r="B25" s="9">
        <v>24559</v>
      </c>
      <c r="C25" s="9">
        <v>28616</v>
      </c>
      <c r="D25" s="26">
        <f t="shared" si="0"/>
        <v>0.16519402255792182</v>
      </c>
      <c r="E25" s="8"/>
      <c r="F25" s="8"/>
      <c r="G25" s="12"/>
      <c r="I25" s="9">
        <v>16</v>
      </c>
      <c r="J25" s="9">
        <v>24559</v>
      </c>
      <c r="K25" s="9">
        <v>28616</v>
      </c>
      <c r="L25" s="26">
        <f t="shared" si="1"/>
        <v>0.16519402255792182</v>
      </c>
      <c r="M25" s="8"/>
      <c r="N25" s="8"/>
      <c r="O25" s="12"/>
    </row>
    <row r="26" spans="1:15">
      <c r="A26" s="9">
        <v>17</v>
      </c>
      <c r="B26" s="9">
        <v>6331</v>
      </c>
      <c r="C26" s="9">
        <v>14601</v>
      </c>
      <c r="D26" s="26">
        <f t="shared" si="0"/>
        <v>1.3062707313220661</v>
      </c>
      <c r="E26" s="8"/>
      <c r="F26" s="8"/>
      <c r="G26" s="12"/>
      <c r="I26" s="9">
        <v>17</v>
      </c>
      <c r="J26" s="9">
        <v>6331</v>
      </c>
      <c r="K26" s="9">
        <v>14601</v>
      </c>
      <c r="L26" s="26">
        <f t="shared" si="1"/>
        <v>1.3062707313220661</v>
      </c>
      <c r="M26" s="8"/>
      <c r="N26" s="8"/>
      <c r="O26" s="12"/>
    </row>
    <row r="27" spans="1:15">
      <c r="A27" s="9">
        <v>18</v>
      </c>
      <c r="B27" s="9">
        <v>873</v>
      </c>
      <c r="C27" s="9">
        <v>0</v>
      </c>
      <c r="D27" s="26">
        <f t="shared" si="0"/>
        <v>1</v>
      </c>
      <c r="E27" s="8"/>
      <c r="F27" s="8"/>
      <c r="G27" s="12"/>
      <c r="I27" s="9">
        <v>18</v>
      </c>
      <c r="J27" s="9">
        <v>873</v>
      </c>
      <c r="K27" s="9">
        <v>0</v>
      </c>
      <c r="L27" s="26">
        <f t="shared" si="1"/>
        <v>1</v>
      </c>
      <c r="M27" s="8"/>
      <c r="N27" s="8"/>
      <c r="O27" s="12"/>
    </row>
    <row r="28" spans="1:15">
      <c r="A28" s="9">
        <v>19</v>
      </c>
      <c r="B28" s="9">
        <v>0</v>
      </c>
      <c r="C28" s="9">
        <v>0</v>
      </c>
      <c r="D28" s="9">
        <v>0</v>
      </c>
      <c r="E28" s="8"/>
      <c r="F28" s="8"/>
      <c r="G28" s="12"/>
      <c r="I28" s="9">
        <v>19</v>
      </c>
      <c r="J28" s="9">
        <v>0</v>
      </c>
      <c r="K28" s="9">
        <v>0</v>
      </c>
      <c r="L28" s="9">
        <v>0</v>
      </c>
      <c r="M28" s="8"/>
      <c r="N28" s="8"/>
      <c r="O28" s="12"/>
    </row>
    <row r="29" spans="1:15">
      <c r="A29" s="9">
        <v>20</v>
      </c>
      <c r="B29" s="9">
        <v>0</v>
      </c>
      <c r="C29" s="9">
        <v>0</v>
      </c>
      <c r="D29" s="9">
        <v>0</v>
      </c>
      <c r="E29" s="8"/>
      <c r="F29" s="8"/>
      <c r="G29" s="12"/>
      <c r="I29" s="9">
        <v>20</v>
      </c>
      <c r="J29" s="9">
        <v>0</v>
      </c>
      <c r="K29" s="9">
        <v>0</v>
      </c>
      <c r="L29" s="9">
        <v>0</v>
      </c>
      <c r="M29" s="8"/>
      <c r="N29" s="8"/>
      <c r="O29" s="12"/>
    </row>
    <row r="30" spans="1:15">
      <c r="A30" s="9">
        <v>21</v>
      </c>
      <c r="B30" s="9">
        <v>0</v>
      </c>
      <c r="C30" s="9">
        <v>0</v>
      </c>
      <c r="D30" s="9">
        <v>0</v>
      </c>
      <c r="E30" s="8"/>
      <c r="F30" s="8"/>
      <c r="G30" s="12"/>
      <c r="I30" s="9">
        <v>21</v>
      </c>
      <c r="J30" s="9">
        <v>0</v>
      </c>
      <c r="K30" s="9">
        <v>0</v>
      </c>
      <c r="L30" s="9">
        <v>0</v>
      </c>
      <c r="M30" s="8"/>
      <c r="N30" s="8"/>
      <c r="O30" s="12"/>
    </row>
    <row r="31" spans="1:15">
      <c r="A31" s="9">
        <v>22</v>
      </c>
      <c r="B31" s="9">
        <v>0</v>
      </c>
      <c r="C31" s="9">
        <v>0</v>
      </c>
      <c r="D31" s="9">
        <v>0</v>
      </c>
      <c r="E31" s="8"/>
      <c r="F31" s="8"/>
      <c r="G31" s="12"/>
      <c r="I31" s="9">
        <v>22</v>
      </c>
      <c r="J31" s="9">
        <v>0</v>
      </c>
      <c r="K31" s="9">
        <v>0</v>
      </c>
      <c r="L31" s="9">
        <v>0</v>
      </c>
      <c r="M31" s="8"/>
      <c r="N31" s="8"/>
      <c r="O31" s="12"/>
    </row>
    <row r="32" spans="1:15">
      <c r="A32" s="9">
        <v>23</v>
      </c>
      <c r="B32" s="9">
        <v>0</v>
      </c>
      <c r="C32" s="9">
        <v>0</v>
      </c>
      <c r="D32" s="9">
        <v>0</v>
      </c>
      <c r="E32" s="13"/>
      <c r="F32" s="13"/>
      <c r="G32" s="14"/>
      <c r="I32" s="9">
        <v>23</v>
      </c>
      <c r="J32" s="9">
        <v>0</v>
      </c>
      <c r="K32" s="9">
        <v>0</v>
      </c>
      <c r="L32" s="9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9">
        <v>0</v>
      </c>
      <c r="B37" s="9">
        <v>0</v>
      </c>
      <c r="C37" s="9">
        <v>0</v>
      </c>
      <c r="D37" s="9">
        <v>0</v>
      </c>
      <c r="E37" s="8"/>
      <c r="F37" s="15" t="s">
        <v>15</v>
      </c>
      <c r="G37" s="28">
        <f>ABS(G50/G48-1)</f>
        <v>0.10867395396338475</v>
      </c>
      <c r="I37" s="19"/>
      <c r="J37" s="8"/>
      <c r="K37" s="8"/>
      <c r="L37" s="8"/>
      <c r="M37" s="8"/>
      <c r="N37" s="8"/>
      <c r="O37" s="12"/>
    </row>
    <row r="38" spans="1:15">
      <c r="A38" s="9">
        <v>1</v>
      </c>
      <c r="B38" s="9">
        <v>0</v>
      </c>
      <c r="C38" s="9">
        <v>0</v>
      </c>
      <c r="D38" s="9">
        <v>0</v>
      </c>
      <c r="E38" s="8"/>
      <c r="F38" s="15" t="s">
        <v>16</v>
      </c>
      <c r="G38" s="24">
        <f>AVERAGE(D37:D60)</f>
        <v>0.26528865705704019</v>
      </c>
      <c r="I38" s="19"/>
      <c r="J38" s="8"/>
      <c r="K38" s="8"/>
      <c r="L38" s="8"/>
      <c r="M38" s="8"/>
      <c r="N38" s="8"/>
      <c r="O38" s="12"/>
    </row>
    <row r="39" spans="1:15">
      <c r="A39" s="9">
        <v>2</v>
      </c>
      <c r="B39" s="9">
        <v>0</v>
      </c>
      <c r="C39" s="9">
        <v>0</v>
      </c>
      <c r="D39" s="9">
        <v>0</v>
      </c>
      <c r="E39" s="8"/>
      <c r="F39" s="15" t="s">
        <v>17</v>
      </c>
      <c r="G39" s="24">
        <f>AVERAGE(D44:D55)</f>
        <v>0.53057731411408038</v>
      </c>
      <c r="I39" s="19"/>
      <c r="J39" s="8"/>
      <c r="K39" s="8"/>
      <c r="L39" s="8"/>
      <c r="M39" s="8"/>
      <c r="N39" s="8"/>
      <c r="O39" s="12"/>
    </row>
    <row r="40" spans="1:15">
      <c r="A40" s="9">
        <v>3</v>
      </c>
      <c r="B40" s="9">
        <v>0</v>
      </c>
      <c r="C40" s="9">
        <v>0</v>
      </c>
      <c r="D40" s="9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9">
        <v>4</v>
      </c>
      <c r="B41" s="9">
        <v>0</v>
      </c>
      <c r="C41" s="9">
        <v>0</v>
      </c>
      <c r="D41" s="9">
        <v>0</v>
      </c>
      <c r="E41" s="8"/>
      <c r="F41" s="11" t="s">
        <v>0</v>
      </c>
      <c r="G41" s="24">
        <f>AVERAGE(D43:D45)</f>
        <v>9.1566068529884873E-2</v>
      </c>
      <c r="I41" s="19"/>
      <c r="J41" s="8"/>
      <c r="K41" s="8"/>
      <c r="L41" s="8"/>
      <c r="M41" s="8"/>
      <c r="N41" s="8"/>
      <c r="O41" s="12"/>
    </row>
    <row r="42" spans="1:15">
      <c r="A42" s="9">
        <v>5</v>
      </c>
      <c r="B42" s="9">
        <v>0</v>
      </c>
      <c r="C42" s="9">
        <v>0</v>
      </c>
      <c r="D42" s="9">
        <v>0</v>
      </c>
      <c r="E42" s="8"/>
      <c r="F42" s="15" t="s">
        <v>1</v>
      </c>
      <c r="G42" s="24">
        <f>AVERAGE(D46:D48)</f>
        <v>5.9214666106915059E-2</v>
      </c>
      <c r="I42" s="19"/>
      <c r="J42" s="8"/>
      <c r="K42" s="8"/>
      <c r="L42" s="8"/>
      <c r="M42" s="8"/>
      <c r="N42" s="8"/>
      <c r="O42" s="12"/>
    </row>
    <row r="43" spans="1:15">
      <c r="A43" s="9">
        <v>6</v>
      </c>
      <c r="B43" s="9">
        <v>0</v>
      </c>
      <c r="C43" s="9">
        <v>0</v>
      </c>
      <c r="D43" s="9">
        <v>0</v>
      </c>
      <c r="E43" s="8"/>
      <c r="F43" s="15" t="s">
        <v>2</v>
      </c>
      <c r="G43" s="24">
        <f>AVERAGE(D49:D51)</f>
        <v>6.268852546763308E-2</v>
      </c>
      <c r="I43" s="19"/>
      <c r="J43" s="8"/>
      <c r="K43" s="8"/>
      <c r="L43" s="8"/>
      <c r="M43" s="8"/>
      <c r="N43" s="8"/>
      <c r="O43" s="12"/>
    </row>
    <row r="44" spans="1:15">
      <c r="A44" s="9">
        <v>7</v>
      </c>
      <c r="B44" s="9">
        <v>2678</v>
      </c>
      <c r="C44" s="9">
        <v>2173.4285709999999</v>
      </c>
      <c r="D44" s="26">
        <f t="shared" ref="D44:D55" si="2">ABS(C44/B44-1)</f>
        <v>0.18841352837938763</v>
      </c>
      <c r="E44" s="8"/>
      <c r="F44" s="15" t="s">
        <v>3</v>
      </c>
      <c r="G44" s="24">
        <f>AVERAGE(D52:D54)</f>
        <v>0.92956764583642471</v>
      </c>
      <c r="I44" s="19"/>
      <c r="J44" s="8"/>
      <c r="K44" s="8"/>
      <c r="L44" s="8"/>
      <c r="M44" s="8"/>
      <c r="N44" s="8"/>
      <c r="O44" s="12"/>
    </row>
    <row r="45" spans="1:15">
      <c r="A45" s="9">
        <v>8</v>
      </c>
      <c r="B45" s="9">
        <v>19285</v>
      </c>
      <c r="C45" s="9">
        <v>20949</v>
      </c>
      <c r="D45" s="26">
        <f t="shared" si="2"/>
        <v>8.6284677210267002E-2</v>
      </c>
      <c r="E45" s="8"/>
      <c r="F45" s="15" t="s">
        <v>4</v>
      </c>
      <c r="G45" s="24">
        <f>AVERAGE(D55:D57)</f>
        <v>0.9792723505154638</v>
      </c>
      <c r="I45" s="19"/>
      <c r="J45" s="8"/>
      <c r="K45" s="8"/>
      <c r="L45" s="8"/>
      <c r="M45" s="8"/>
      <c r="N45" s="8"/>
      <c r="O45" s="12"/>
    </row>
    <row r="46" spans="1:15">
      <c r="A46" s="9">
        <v>9</v>
      </c>
      <c r="B46" s="9">
        <v>43985</v>
      </c>
      <c r="C46" s="9">
        <v>41771.142856999999</v>
      </c>
      <c r="D46" s="26">
        <f t="shared" si="2"/>
        <v>5.033209373650116E-2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9">
        <v>10</v>
      </c>
      <c r="B47" s="9">
        <v>49686</v>
      </c>
      <c r="C47" s="9">
        <v>55901</v>
      </c>
      <c r="D47" s="26">
        <f t="shared" si="2"/>
        <v>0.12508553717344917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9">
        <v>11</v>
      </c>
      <c r="B48" s="9">
        <v>49857</v>
      </c>
      <c r="C48" s="9">
        <v>49746</v>
      </c>
      <c r="D48" s="26">
        <f t="shared" si="2"/>
        <v>2.2263674107948495E-3</v>
      </c>
      <c r="E48" s="8"/>
      <c r="F48" s="37" t="s">
        <v>18</v>
      </c>
      <c r="G48" s="38">
        <f>SUM(B37:B60)</f>
        <v>366404</v>
      </c>
      <c r="I48" s="19"/>
      <c r="J48" s="8"/>
      <c r="K48" s="8"/>
      <c r="L48" s="8"/>
      <c r="M48" s="8"/>
      <c r="N48" s="8"/>
      <c r="O48" s="12"/>
    </row>
    <row r="49" spans="1:15">
      <c r="A49" s="9">
        <v>12</v>
      </c>
      <c r="B49" s="9">
        <v>49624</v>
      </c>
      <c r="C49" s="9">
        <v>49000</v>
      </c>
      <c r="D49" s="26">
        <f t="shared" si="2"/>
        <v>1.2574560696437254E-2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9">
        <v>13</v>
      </c>
      <c r="B50" s="9">
        <v>46898</v>
      </c>
      <c r="C50" s="9">
        <v>49311</v>
      </c>
      <c r="D50" s="26">
        <f t="shared" si="2"/>
        <v>5.1452087509062272E-2</v>
      </c>
      <c r="E50" s="8"/>
      <c r="F50" s="37" t="s">
        <v>19</v>
      </c>
      <c r="G50" s="38">
        <f>SUM(C37:C60)</f>
        <v>406222.571428</v>
      </c>
      <c r="I50" s="19"/>
      <c r="J50" s="8"/>
      <c r="K50" s="8"/>
      <c r="L50" s="8"/>
      <c r="M50" s="8"/>
      <c r="N50" s="8"/>
      <c r="O50" s="12"/>
    </row>
    <row r="51" spans="1:15">
      <c r="A51" s="9">
        <v>14</v>
      </c>
      <c r="B51" s="9">
        <v>39149</v>
      </c>
      <c r="C51" s="9">
        <v>44005</v>
      </c>
      <c r="D51" s="26">
        <f t="shared" si="2"/>
        <v>0.1240389281973997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9">
        <v>15</v>
      </c>
      <c r="B52" s="9">
        <v>33479</v>
      </c>
      <c r="C52" s="9">
        <v>34357</v>
      </c>
      <c r="D52" s="26">
        <f t="shared" si="2"/>
        <v>2.6225395023746323E-2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9">
        <v>16</v>
      </c>
      <c r="B53" s="9">
        <v>24559</v>
      </c>
      <c r="C53" s="9">
        <v>34249</v>
      </c>
      <c r="D53" s="26">
        <f t="shared" si="2"/>
        <v>0.3945600390895394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9">
        <v>17</v>
      </c>
      <c r="B54" s="9">
        <v>6331</v>
      </c>
      <c r="C54" s="9">
        <v>21322.285714000001</v>
      </c>
      <c r="D54" s="26">
        <f t="shared" si="2"/>
        <v>2.3679175033959883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9">
        <v>18</v>
      </c>
      <c r="B55" s="9">
        <v>873</v>
      </c>
      <c r="C55" s="9">
        <v>3437.7142859999999</v>
      </c>
      <c r="D55" s="26">
        <f t="shared" si="2"/>
        <v>2.9378170515463915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9">
        <v>19</v>
      </c>
      <c r="B56" s="9">
        <v>0</v>
      </c>
      <c r="C56" s="9">
        <v>0</v>
      </c>
      <c r="D56" s="9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9">
        <v>20</v>
      </c>
      <c r="B57" s="9">
        <v>0</v>
      </c>
      <c r="C57" s="9">
        <v>0</v>
      </c>
      <c r="D57" s="9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9">
        <v>21</v>
      </c>
      <c r="B58" s="9">
        <v>0</v>
      </c>
      <c r="C58" s="9">
        <v>0</v>
      </c>
      <c r="D58" s="9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9">
        <v>22</v>
      </c>
      <c r="B59" s="9">
        <v>0</v>
      </c>
      <c r="C59" s="9">
        <v>0</v>
      </c>
      <c r="D59" s="9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9">
        <v>23</v>
      </c>
      <c r="B60" s="9">
        <v>0</v>
      </c>
      <c r="C60" s="9">
        <v>0</v>
      </c>
      <c r="D60" s="9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101600</xdr:rowOff>
                  </from>
                  <to>
                    <xdr:col>17</xdr:col>
                    <xdr:colOff>127000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101600</xdr:rowOff>
                  </from>
                  <to>
                    <xdr:col>17</xdr:col>
                    <xdr:colOff>127000</xdr:colOff>
                    <xdr:row>59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0B38-C9C9-BC4F-9EEA-015091A3CFE6}">
  <sheetPr codeName="Sheet12">
    <pageSetUpPr fitToPage="1"/>
  </sheetPr>
  <dimension ref="A1:W60"/>
  <sheetViews>
    <sheetView zoomScale="60" workbookViewId="0">
      <selection activeCell="E32" sqref="E32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4.7236469932982139E-2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2.5904340325126896E-2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8.8157764339664754E-2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7.000706252511972E-2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0.17631552867932951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0.14001412505023944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0.27813595843086097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9.8264792840741744E-2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5.2539821971351208E-2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8.7205373045110293E-2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3.8790503767709983E-2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3.8790503767709983E-2</v>
      </c>
    </row>
    <row r="16" spans="1:23">
      <c r="A16" s="4">
        <v>7</v>
      </c>
      <c r="B16" s="4">
        <v>12041</v>
      </c>
      <c r="C16" s="4">
        <v>9415</v>
      </c>
      <c r="D16" s="26">
        <f t="shared" ref="D16:D26" si="0">ABS(C16/B16-1)</f>
        <v>0.21808819865459683</v>
      </c>
      <c r="E16" s="8"/>
      <c r="F16" s="15" t="s">
        <v>3</v>
      </c>
      <c r="G16" s="24">
        <f>AVERAGE(D24:D26)</f>
        <v>0.33579583054739581</v>
      </c>
      <c r="I16" s="4">
        <v>7</v>
      </c>
      <c r="J16" s="4">
        <v>12041</v>
      </c>
      <c r="K16" s="4">
        <v>11237.428571</v>
      </c>
      <c r="L16" s="26">
        <f t="shared" ref="L16:L26" si="1">ABS(K16/J16-1)</f>
        <v>6.6736270160285605E-2</v>
      </c>
      <c r="M16" s="8"/>
      <c r="N16" s="15" t="s">
        <v>3</v>
      </c>
      <c r="O16" s="24">
        <f>AVERAGE(L24:L26)</f>
        <v>0.33579583054739581</v>
      </c>
    </row>
    <row r="17" spans="1:15">
      <c r="A17" s="4">
        <v>8</v>
      </c>
      <c r="B17" s="4">
        <v>67293</v>
      </c>
      <c r="C17" s="4">
        <v>25819</v>
      </c>
      <c r="D17" s="26">
        <f t="shared" si="0"/>
        <v>0.61631967663798615</v>
      </c>
      <c r="E17" s="8"/>
      <c r="F17" s="15" t="s">
        <v>4</v>
      </c>
      <c r="G17" s="24">
        <f>AVERAGE(D27:D29)</f>
        <v>0</v>
      </c>
      <c r="I17" s="4">
        <v>8</v>
      </c>
      <c r="J17" s="4">
        <v>67293</v>
      </c>
      <c r="K17" s="4">
        <v>51946.285713999998</v>
      </c>
      <c r="L17" s="26">
        <f t="shared" si="1"/>
        <v>0.22805810836193963</v>
      </c>
      <c r="M17" s="8"/>
      <c r="N17" s="15" t="s">
        <v>4</v>
      </c>
      <c r="O17" s="24">
        <f>AVERAGE(L27:L29)</f>
        <v>0</v>
      </c>
    </row>
    <row r="18" spans="1:15">
      <c r="A18" s="4">
        <v>9</v>
      </c>
      <c r="B18" s="4">
        <v>99712</v>
      </c>
      <c r="C18" s="4">
        <v>93160</v>
      </c>
      <c r="D18" s="26">
        <f t="shared" si="0"/>
        <v>6.5709242618742003E-2</v>
      </c>
      <c r="E18" s="8"/>
      <c r="F18" s="8"/>
      <c r="G18" s="12"/>
      <c r="I18" s="4">
        <v>9</v>
      </c>
      <c r="J18" s="4">
        <v>99712</v>
      </c>
      <c r="K18" s="4">
        <v>82790.285713999998</v>
      </c>
      <c r="L18" s="26">
        <f t="shared" si="1"/>
        <v>0.16970589584001927</v>
      </c>
      <c r="M18" s="8"/>
      <c r="N18" s="8"/>
      <c r="O18" s="12"/>
    </row>
    <row r="19" spans="1:15">
      <c r="A19" s="4">
        <v>10</v>
      </c>
      <c r="B19" s="4">
        <v>100073</v>
      </c>
      <c r="C19" s="4">
        <v>102603</v>
      </c>
      <c r="D19" s="26">
        <f t="shared" si="0"/>
        <v>2.5281544472534945E-2</v>
      </c>
      <c r="E19" s="8"/>
      <c r="F19" s="8"/>
      <c r="G19" s="12"/>
      <c r="I19" s="4">
        <v>10</v>
      </c>
      <c r="J19" s="4">
        <v>100073</v>
      </c>
      <c r="K19" s="4">
        <v>102603</v>
      </c>
      <c r="L19" s="26">
        <f t="shared" si="1"/>
        <v>2.5281544472534945E-2</v>
      </c>
      <c r="M19" s="8"/>
      <c r="N19" s="8"/>
      <c r="O19" s="12"/>
    </row>
    <row r="20" spans="1:15" ht="16" customHeight="1">
      <c r="A20" s="4">
        <v>11</v>
      </c>
      <c r="B20" s="4">
        <v>100032</v>
      </c>
      <c r="C20" s="4">
        <v>93367</v>
      </c>
      <c r="D20" s="26">
        <f t="shared" si="0"/>
        <v>6.6628678822776677E-2</v>
      </c>
      <c r="E20" s="8"/>
      <c r="F20" s="37" t="s">
        <v>18</v>
      </c>
      <c r="G20" s="38">
        <f>SUM(B9:B32)</f>
        <v>824109</v>
      </c>
      <c r="I20" s="4">
        <v>11</v>
      </c>
      <c r="J20" s="4">
        <v>100032</v>
      </c>
      <c r="K20" s="4">
        <v>93367</v>
      </c>
      <c r="L20" s="26">
        <f t="shared" si="1"/>
        <v>6.6628678822776677E-2</v>
      </c>
      <c r="M20" s="8"/>
      <c r="N20" s="37" t="s">
        <v>18</v>
      </c>
      <c r="O20" s="38">
        <f>SUM(J9:J32)</f>
        <v>824109</v>
      </c>
    </row>
    <row r="21" spans="1:15">
      <c r="A21" s="4">
        <v>12</v>
      </c>
      <c r="B21" s="4">
        <v>100271</v>
      </c>
      <c r="C21" s="4">
        <v>97581</v>
      </c>
      <c r="D21" s="26">
        <f t="shared" si="0"/>
        <v>2.6827298022359392E-2</v>
      </c>
      <c r="E21" s="8"/>
      <c r="F21" s="37"/>
      <c r="G21" s="38"/>
      <c r="I21" s="4">
        <v>12</v>
      </c>
      <c r="J21" s="4">
        <v>100271</v>
      </c>
      <c r="K21" s="4">
        <v>97581</v>
      </c>
      <c r="L21" s="26">
        <f t="shared" si="1"/>
        <v>2.6827298022359392E-2</v>
      </c>
      <c r="M21" s="8"/>
      <c r="N21" s="37"/>
      <c r="O21" s="38"/>
    </row>
    <row r="22" spans="1:15" ht="16" customHeight="1">
      <c r="A22" s="4">
        <v>13</v>
      </c>
      <c r="B22" s="4">
        <v>100693</v>
      </c>
      <c r="C22" s="4">
        <v>94325</v>
      </c>
      <c r="D22" s="26">
        <f t="shared" si="0"/>
        <v>6.3241734777988556E-2</v>
      </c>
      <c r="E22" s="8"/>
      <c r="F22" s="37" t="s">
        <v>19</v>
      </c>
      <c r="G22" s="38">
        <f>SUM(C9:C32)</f>
        <v>785181</v>
      </c>
      <c r="I22" s="4">
        <v>13</v>
      </c>
      <c r="J22" s="4">
        <v>100693</v>
      </c>
      <c r="K22" s="4">
        <v>94325</v>
      </c>
      <c r="L22" s="26">
        <f t="shared" si="1"/>
        <v>6.3241734777988556E-2</v>
      </c>
      <c r="M22" s="8"/>
      <c r="N22" s="37" t="s">
        <v>19</v>
      </c>
      <c r="O22" s="38">
        <f>SUM(K9:K32)</f>
        <v>802760.99999899999</v>
      </c>
    </row>
    <row r="23" spans="1:15">
      <c r="A23" s="4">
        <v>14</v>
      </c>
      <c r="B23" s="4">
        <v>96873</v>
      </c>
      <c r="C23" s="4">
        <v>94325</v>
      </c>
      <c r="D23" s="26">
        <f t="shared" si="0"/>
        <v>2.6302478502782001E-2</v>
      </c>
      <c r="E23" s="8"/>
      <c r="F23" s="37"/>
      <c r="G23" s="38"/>
      <c r="I23" s="4">
        <v>14</v>
      </c>
      <c r="J23" s="4">
        <v>96873</v>
      </c>
      <c r="K23" s="4">
        <v>94325</v>
      </c>
      <c r="L23" s="26">
        <f t="shared" si="1"/>
        <v>2.6302478502782001E-2</v>
      </c>
      <c r="M23" s="8"/>
      <c r="N23" s="37"/>
      <c r="O23" s="38"/>
    </row>
    <row r="24" spans="1:15">
      <c r="A24" s="4">
        <v>15</v>
      </c>
      <c r="B24" s="4">
        <v>91881</v>
      </c>
      <c r="C24" s="4">
        <v>88098</v>
      </c>
      <c r="D24" s="26">
        <f t="shared" si="0"/>
        <v>4.117282136676792E-2</v>
      </c>
      <c r="E24" s="8"/>
      <c r="F24" s="8"/>
      <c r="G24" s="12"/>
      <c r="I24" s="4">
        <v>15</v>
      </c>
      <c r="J24" s="4">
        <v>91881</v>
      </c>
      <c r="K24" s="4">
        <v>88098</v>
      </c>
      <c r="L24" s="26">
        <f t="shared" si="1"/>
        <v>4.117282136676792E-2</v>
      </c>
      <c r="M24" s="8"/>
      <c r="N24" s="8"/>
      <c r="O24" s="12"/>
    </row>
    <row r="25" spans="1:15">
      <c r="A25" s="4">
        <v>16</v>
      </c>
      <c r="B25" s="4">
        <v>43451</v>
      </c>
      <c r="C25" s="4">
        <v>76990</v>
      </c>
      <c r="D25" s="26">
        <f t="shared" si="0"/>
        <v>0.77188096936779371</v>
      </c>
      <c r="E25" s="8"/>
      <c r="F25" s="8"/>
      <c r="G25" s="12"/>
      <c r="I25" s="4">
        <v>16</v>
      </c>
      <c r="J25" s="4">
        <v>43451</v>
      </c>
      <c r="K25" s="4">
        <v>76990</v>
      </c>
      <c r="L25" s="26">
        <f t="shared" si="1"/>
        <v>0.77188096936779371</v>
      </c>
      <c r="M25" s="8"/>
      <c r="N25" s="8"/>
      <c r="O25" s="12"/>
    </row>
    <row r="26" spans="1:15">
      <c r="A26" s="4">
        <v>17</v>
      </c>
      <c r="B26" s="4">
        <v>11789</v>
      </c>
      <c r="C26" s="4">
        <v>9498</v>
      </c>
      <c r="D26" s="26">
        <f t="shared" si="0"/>
        <v>0.19433370090762581</v>
      </c>
      <c r="E26" s="8"/>
      <c r="F26" s="8"/>
      <c r="G26" s="12"/>
      <c r="I26" s="4">
        <v>17</v>
      </c>
      <c r="J26" s="4">
        <v>11789</v>
      </c>
      <c r="K26" s="4">
        <v>9498</v>
      </c>
      <c r="L26" s="26">
        <f t="shared" si="1"/>
        <v>0.19433370090762581</v>
      </c>
      <c r="M26" s="8"/>
      <c r="N26" s="8"/>
      <c r="O26" s="12"/>
    </row>
    <row r="27" spans="1:15">
      <c r="A27" s="4">
        <v>18</v>
      </c>
      <c r="B27" s="4">
        <v>0</v>
      </c>
      <c r="C27" s="4">
        <v>0</v>
      </c>
      <c r="D27" s="4">
        <v>0</v>
      </c>
      <c r="E27" s="8"/>
      <c r="F27" s="8"/>
      <c r="G27" s="12"/>
      <c r="I27" s="4">
        <v>18</v>
      </c>
      <c r="J27" s="4">
        <v>0</v>
      </c>
      <c r="K27" s="4">
        <v>0</v>
      </c>
      <c r="L27" s="26">
        <v>0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8.7219738432657845E-3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0.18096435847830306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0.36192871695660611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9.8264792840741744E-2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8.7205373045110293E-2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3.8790503767709983E-2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12041</v>
      </c>
      <c r="C44" s="4">
        <v>11237.428571</v>
      </c>
      <c r="D44" s="26">
        <f t="shared" ref="D44:D54" si="2">ABS(C44/B44-1)</f>
        <v>6.6736270160285605E-2</v>
      </c>
      <c r="E44" s="8"/>
      <c r="F44" s="15" t="s">
        <v>3</v>
      </c>
      <c r="G44" s="24">
        <f>AVERAGE(D52:D54)</f>
        <v>1.2234541981728624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67293</v>
      </c>
      <c r="C45" s="4">
        <v>51946.285713999998</v>
      </c>
      <c r="D45" s="26">
        <f t="shared" si="2"/>
        <v>0.22805810836193963</v>
      </c>
      <c r="E45" s="8"/>
      <c r="F45" s="15" t="s">
        <v>4</v>
      </c>
      <c r="G45" s="24">
        <f>AVERAGE(D55:D57)</f>
        <v>0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99712</v>
      </c>
      <c r="C46" s="4">
        <v>82790.285713999998</v>
      </c>
      <c r="D46" s="26">
        <f t="shared" si="2"/>
        <v>0.16970589584001927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100073</v>
      </c>
      <c r="C47" s="4">
        <v>102603</v>
      </c>
      <c r="D47" s="26">
        <f t="shared" si="2"/>
        <v>2.5281544472534945E-2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100032</v>
      </c>
      <c r="C48" s="4">
        <v>93367</v>
      </c>
      <c r="D48" s="26">
        <f t="shared" si="2"/>
        <v>6.6628678822776677E-2</v>
      </c>
      <c r="E48" s="8"/>
      <c r="F48" s="37" t="s">
        <v>18</v>
      </c>
      <c r="G48" s="38">
        <f>SUM(B37:B60)</f>
        <v>824109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100271</v>
      </c>
      <c r="C49" s="4">
        <v>97581</v>
      </c>
      <c r="D49" s="26">
        <f t="shared" si="2"/>
        <v>2.6827298022359392E-2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100693</v>
      </c>
      <c r="C50" s="4">
        <v>94325</v>
      </c>
      <c r="D50" s="26">
        <f t="shared" si="2"/>
        <v>6.3241734777988556E-2</v>
      </c>
      <c r="E50" s="8"/>
      <c r="F50" s="37" t="s">
        <v>19</v>
      </c>
      <c r="G50" s="38">
        <f>SUM(C37:C60)</f>
        <v>831296.85714199999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96873</v>
      </c>
      <c r="C51" s="4">
        <v>94325</v>
      </c>
      <c r="D51" s="26">
        <f t="shared" si="2"/>
        <v>2.6302478502782001E-2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91881</v>
      </c>
      <c r="C52" s="4">
        <v>88098</v>
      </c>
      <c r="D52" s="26">
        <f t="shared" si="2"/>
        <v>4.117282136676792E-2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43451</v>
      </c>
      <c r="C53" s="4">
        <v>66779.857143000001</v>
      </c>
      <c r="D53" s="26">
        <f t="shared" si="2"/>
        <v>0.53690035080895715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11789</v>
      </c>
      <c r="C54" s="4">
        <v>48244</v>
      </c>
      <c r="D54" s="26">
        <f t="shared" si="2"/>
        <v>3.0922894223428621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0</v>
      </c>
      <c r="C55" s="4">
        <v>0</v>
      </c>
      <c r="D55" s="4">
        <v>0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127000</xdr:rowOff>
                  </from>
                  <to>
                    <xdr:col>17</xdr:col>
                    <xdr:colOff>127000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127000</xdr:rowOff>
                  </from>
                  <to>
                    <xdr:col>17</xdr:col>
                    <xdr:colOff>127000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2E34F-48D9-7E46-A529-2095FF385499}">
  <sheetPr codeName="Sheet13">
    <pageSetUpPr fitToPage="1"/>
  </sheetPr>
  <dimension ref="A1:W60"/>
  <sheetViews>
    <sheetView zoomScale="74" workbookViewId="0">
      <selection activeCell="Q32" sqref="Q32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0.83203125" style="5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5.9795866354357519E-2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7.9113490600385861E-2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0.49439162044823054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0.50718314413878762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0.98878324089646108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1.0143662882775752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0.29864473714181089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0.31628789420732778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0.18196224373691972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0.26665127619585954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0.20497828717216612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0.20497828717216612</v>
      </c>
    </row>
    <row r="16" spans="1:23">
      <c r="A16" s="4">
        <v>7</v>
      </c>
      <c r="B16" s="4">
        <v>1282</v>
      </c>
      <c r="C16" s="4">
        <v>1031</v>
      </c>
      <c r="D16" s="26">
        <f t="shared" ref="D16:D27" si="0">ABS(C16/B16-1)</f>
        <v>0.19578783151326051</v>
      </c>
      <c r="E16" s="8"/>
      <c r="F16" s="15" t="s">
        <v>3</v>
      </c>
      <c r="G16" s="24">
        <f>AVERAGE(D24:D26)</f>
        <v>0.73142133387917418</v>
      </c>
      <c r="I16" s="4">
        <v>7</v>
      </c>
      <c r="J16" s="4">
        <v>1282</v>
      </c>
      <c r="K16" s="4">
        <v>669.57142899999997</v>
      </c>
      <c r="L16" s="26">
        <f t="shared" ref="L16:L27" si="1">ABS(K16/J16-1)</f>
        <v>0.47771339391575662</v>
      </c>
      <c r="M16" s="8"/>
      <c r="N16" s="15" t="s">
        <v>3</v>
      </c>
      <c r="O16" s="24">
        <f>AVERAGE(L24:L26)</f>
        <v>0.73142133387917418</v>
      </c>
    </row>
    <row r="17" spans="1:15">
      <c r="A17" s="4">
        <v>8</v>
      </c>
      <c r="B17" s="4">
        <v>8881</v>
      </c>
      <c r="C17" s="4">
        <v>2663</v>
      </c>
      <c r="D17" s="26">
        <f t="shared" si="0"/>
        <v>0.7001463799121721</v>
      </c>
      <c r="E17" s="8"/>
      <c r="F17" s="15" t="s">
        <v>4</v>
      </c>
      <c r="G17" s="24">
        <f>AVERAGE(D27:D29)</f>
        <v>2.5381263616557734</v>
      </c>
      <c r="I17" s="4">
        <v>8</v>
      </c>
      <c r="J17" s="4">
        <v>8881</v>
      </c>
      <c r="K17" s="4">
        <v>4696.7142860000004</v>
      </c>
      <c r="L17" s="26">
        <f t="shared" si="1"/>
        <v>0.47115028870622677</v>
      </c>
      <c r="M17" s="8"/>
      <c r="N17" s="15" t="s">
        <v>4</v>
      </c>
      <c r="O17" s="24">
        <f>AVERAGE(L27:L29)</f>
        <v>2.5381263616557734</v>
      </c>
    </row>
    <row r="18" spans="1:15">
      <c r="A18" s="4">
        <v>9</v>
      </c>
      <c r="B18" s="4">
        <v>12847</v>
      </c>
      <c r="C18" s="4">
        <v>11743</v>
      </c>
      <c r="D18" s="26">
        <f t="shared" si="0"/>
        <v>8.5934459406865393E-2</v>
      </c>
      <c r="E18" s="8"/>
      <c r="F18" s="8"/>
      <c r="G18" s="12"/>
      <c r="I18" s="4">
        <v>9</v>
      </c>
      <c r="J18" s="4">
        <v>12847</v>
      </c>
      <c r="K18" s="4">
        <v>8479</v>
      </c>
      <c r="L18" s="26">
        <f t="shared" si="1"/>
        <v>0.34000155678368493</v>
      </c>
      <c r="M18" s="8"/>
      <c r="N18" s="8"/>
      <c r="O18" s="12"/>
    </row>
    <row r="19" spans="1:15">
      <c r="A19" s="4">
        <v>10</v>
      </c>
      <c r="B19" s="4">
        <v>11017</v>
      </c>
      <c r="C19" s="4">
        <v>13157</v>
      </c>
      <c r="D19" s="26">
        <f t="shared" si="0"/>
        <v>0.19424525732958164</v>
      </c>
      <c r="E19" s="8"/>
      <c r="F19" s="8"/>
      <c r="G19" s="12"/>
      <c r="I19" s="4">
        <v>10</v>
      </c>
      <c r="J19" s="4">
        <v>11017</v>
      </c>
      <c r="K19" s="4">
        <v>13157</v>
      </c>
      <c r="L19" s="26">
        <f t="shared" si="1"/>
        <v>0.19424525732958164</v>
      </c>
      <c r="M19" s="8"/>
      <c r="N19" s="8"/>
      <c r="O19" s="12"/>
    </row>
    <row r="20" spans="1:15" ht="16" customHeight="1">
      <c r="A20" s="4">
        <v>11</v>
      </c>
      <c r="B20" s="4">
        <v>12574</v>
      </c>
      <c r="C20" s="4">
        <v>9233</v>
      </c>
      <c r="D20" s="26">
        <f t="shared" si="0"/>
        <v>0.26570701447431211</v>
      </c>
      <c r="E20" s="8"/>
      <c r="F20" s="37" t="s">
        <v>18</v>
      </c>
      <c r="G20" s="38">
        <f>SUM(B9:B32)</f>
        <v>82397</v>
      </c>
      <c r="I20" s="4">
        <v>11</v>
      </c>
      <c r="J20" s="4">
        <v>12574</v>
      </c>
      <c r="K20" s="4">
        <v>9233</v>
      </c>
      <c r="L20" s="26">
        <f t="shared" si="1"/>
        <v>0.26570701447431211</v>
      </c>
      <c r="M20" s="8"/>
      <c r="N20" s="37" t="s">
        <v>18</v>
      </c>
      <c r="O20" s="38">
        <f>SUM(J9:J32)</f>
        <v>82397</v>
      </c>
    </row>
    <row r="21" spans="1:15">
      <c r="A21" s="4">
        <v>12</v>
      </c>
      <c r="B21" s="4">
        <v>9681</v>
      </c>
      <c r="C21" s="4">
        <v>12288</v>
      </c>
      <c r="D21" s="26">
        <f t="shared" si="0"/>
        <v>0.2692903625658507</v>
      </c>
      <c r="E21" s="8"/>
      <c r="F21" s="37"/>
      <c r="G21" s="38"/>
      <c r="I21" s="4">
        <v>12</v>
      </c>
      <c r="J21" s="4">
        <v>9681</v>
      </c>
      <c r="K21" s="4">
        <v>12288</v>
      </c>
      <c r="L21" s="26">
        <f t="shared" si="1"/>
        <v>0.2692903625658507</v>
      </c>
      <c r="M21" s="8"/>
      <c r="N21" s="37"/>
      <c r="O21" s="38"/>
    </row>
    <row r="22" spans="1:15" ht="16" customHeight="1">
      <c r="A22" s="4">
        <v>13</v>
      </c>
      <c r="B22" s="4">
        <v>10119</v>
      </c>
      <c r="C22" s="4">
        <v>7833</v>
      </c>
      <c r="D22" s="26">
        <f t="shared" si="0"/>
        <v>0.22591165134894753</v>
      </c>
      <c r="E22" s="8"/>
      <c r="F22" s="37" t="s">
        <v>19</v>
      </c>
      <c r="G22" s="38">
        <f>SUM(C9:C32)</f>
        <v>77470</v>
      </c>
      <c r="I22" s="4">
        <v>13</v>
      </c>
      <c r="J22" s="4">
        <v>10119</v>
      </c>
      <c r="K22" s="4">
        <v>7833</v>
      </c>
      <c r="L22" s="26">
        <f t="shared" si="1"/>
        <v>0.22591165134894753</v>
      </c>
      <c r="M22" s="8"/>
      <c r="N22" s="37" t="s">
        <v>19</v>
      </c>
      <c r="O22" s="38">
        <f>SUM(K9:K32)</f>
        <v>75878.285715000005</v>
      </c>
    </row>
    <row r="23" spans="1:15">
      <c r="A23" s="4">
        <v>14</v>
      </c>
      <c r="B23" s="4">
        <v>8235</v>
      </c>
      <c r="C23" s="4">
        <v>9221</v>
      </c>
      <c r="D23" s="26">
        <f t="shared" si="0"/>
        <v>0.11973284760170011</v>
      </c>
      <c r="E23" s="8"/>
      <c r="F23" s="37"/>
      <c r="G23" s="38"/>
      <c r="I23" s="4">
        <v>14</v>
      </c>
      <c r="J23" s="4">
        <v>8235</v>
      </c>
      <c r="K23" s="4">
        <v>9221</v>
      </c>
      <c r="L23" s="26">
        <f t="shared" si="1"/>
        <v>0.11973284760170011</v>
      </c>
      <c r="M23" s="8"/>
      <c r="N23" s="37"/>
      <c r="O23" s="38"/>
    </row>
    <row r="24" spans="1:15">
      <c r="A24" s="4">
        <v>15</v>
      </c>
      <c r="B24" s="4">
        <v>4703</v>
      </c>
      <c r="C24" s="4">
        <v>6579</v>
      </c>
      <c r="D24" s="26">
        <f t="shared" si="0"/>
        <v>0.39889432277269821</v>
      </c>
      <c r="E24" s="8"/>
      <c r="F24" s="8"/>
      <c r="G24" s="12"/>
      <c r="I24" s="4">
        <v>15</v>
      </c>
      <c r="J24" s="4">
        <v>4703</v>
      </c>
      <c r="K24" s="4">
        <v>6579</v>
      </c>
      <c r="L24" s="26">
        <f t="shared" si="1"/>
        <v>0.39889432277269821</v>
      </c>
      <c r="M24" s="8"/>
      <c r="N24" s="8"/>
      <c r="O24" s="12"/>
    </row>
    <row r="25" spans="1:15">
      <c r="A25" s="4">
        <v>16</v>
      </c>
      <c r="B25" s="4">
        <v>1339</v>
      </c>
      <c r="C25" s="4">
        <v>2404</v>
      </c>
      <c r="D25" s="26">
        <f t="shared" si="0"/>
        <v>0.79536967886482457</v>
      </c>
      <c r="E25" s="8"/>
      <c r="F25" s="8"/>
      <c r="G25" s="12"/>
      <c r="I25" s="4">
        <v>16</v>
      </c>
      <c r="J25" s="4">
        <v>1339</v>
      </c>
      <c r="K25" s="4">
        <v>2404</v>
      </c>
      <c r="L25" s="26">
        <f t="shared" si="1"/>
        <v>0.79536967886482457</v>
      </c>
      <c r="M25" s="8"/>
      <c r="N25" s="8"/>
      <c r="O25" s="12"/>
    </row>
    <row r="26" spans="1:15">
      <c r="A26" s="4">
        <v>17</v>
      </c>
      <c r="B26" s="4">
        <v>1566</v>
      </c>
      <c r="C26" s="4">
        <v>0</v>
      </c>
      <c r="D26" s="26">
        <f t="shared" si="0"/>
        <v>1</v>
      </c>
      <c r="E26" s="8"/>
      <c r="F26" s="8"/>
      <c r="G26" s="12"/>
      <c r="I26" s="4">
        <v>17</v>
      </c>
      <c r="J26" s="4">
        <v>1566</v>
      </c>
      <c r="K26" s="4">
        <v>0</v>
      </c>
      <c r="L26" s="26">
        <f t="shared" si="1"/>
        <v>1</v>
      </c>
      <c r="M26" s="8"/>
      <c r="N26" s="8"/>
      <c r="O26" s="12"/>
    </row>
    <row r="27" spans="1:15">
      <c r="A27" s="4">
        <v>18</v>
      </c>
      <c r="B27" s="4">
        <v>153</v>
      </c>
      <c r="C27" s="4">
        <v>1318</v>
      </c>
      <c r="D27" s="26">
        <f t="shared" si="0"/>
        <v>7.6143790849673199</v>
      </c>
      <c r="E27" s="8"/>
      <c r="F27" s="8"/>
      <c r="G27" s="12"/>
      <c r="I27" s="4">
        <v>18</v>
      </c>
      <c r="J27" s="4">
        <v>153</v>
      </c>
      <c r="K27" s="4">
        <v>1318</v>
      </c>
      <c r="L27" s="26">
        <f t="shared" si="1"/>
        <v>7.6143790849673199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3.8524287534740242E-3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0.45645927965926258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0.91291855931852517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0.31628789420732778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0.26665127619585954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0.20497828717216612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1282</v>
      </c>
      <c r="C44" s="4">
        <v>669.57142899999997</v>
      </c>
      <c r="D44" s="26">
        <f t="shared" ref="D44:D55" si="2">ABS(C44/B44-1)</f>
        <v>0.47771339391575662</v>
      </c>
      <c r="E44" s="8"/>
      <c r="F44" s="15" t="s">
        <v>3</v>
      </c>
      <c r="G44" s="24">
        <f>AVERAGE(D52:D54)</f>
        <v>1.822051208892647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8881</v>
      </c>
      <c r="C45" s="4">
        <v>4696.7142860000004</v>
      </c>
      <c r="D45" s="26">
        <f t="shared" si="2"/>
        <v>0.47115028870622677</v>
      </c>
      <c r="E45" s="8"/>
      <c r="F45" s="15" t="s">
        <v>4</v>
      </c>
      <c r="G45" s="24">
        <f>AVERAGE(D55:D57)</f>
        <v>1.0417055708061003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12847</v>
      </c>
      <c r="C46" s="4">
        <v>8479</v>
      </c>
      <c r="D46" s="26">
        <f t="shared" si="2"/>
        <v>0.34000155678368493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11017</v>
      </c>
      <c r="C47" s="4">
        <v>13157</v>
      </c>
      <c r="D47" s="26">
        <f t="shared" si="2"/>
        <v>0.19424525732958164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12574</v>
      </c>
      <c r="C48" s="4">
        <v>9233</v>
      </c>
      <c r="D48" s="26">
        <f t="shared" si="2"/>
        <v>0.26570701447431211</v>
      </c>
      <c r="E48" s="8"/>
      <c r="F48" s="37" t="s">
        <v>18</v>
      </c>
      <c r="G48" s="38">
        <f>SUM(B37:B60)</f>
        <v>82397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9681</v>
      </c>
      <c r="C49" s="4">
        <v>12288</v>
      </c>
      <c r="D49" s="26">
        <f t="shared" si="2"/>
        <v>0.2692903625658507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10119</v>
      </c>
      <c r="C50" s="4">
        <v>7833</v>
      </c>
      <c r="D50" s="26">
        <f t="shared" si="2"/>
        <v>0.22591165134894753</v>
      </c>
      <c r="E50" s="8"/>
      <c r="F50" s="37" t="s">
        <v>19</v>
      </c>
      <c r="G50" s="38">
        <f>SUM(C37:C60)</f>
        <v>82714.428572000004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8235</v>
      </c>
      <c r="C51" s="4">
        <v>9221</v>
      </c>
      <c r="D51" s="26">
        <f t="shared" si="2"/>
        <v>0.11973284760170011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4703</v>
      </c>
      <c r="C52" s="4">
        <v>6579</v>
      </c>
      <c r="D52" s="26">
        <f t="shared" si="2"/>
        <v>0.39889432277269821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1339</v>
      </c>
      <c r="C53" s="4">
        <v>6726.4285710000004</v>
      </c>
      <c r="D53" s="26">
        <f t="shared" si="2"/>
        <v>4.0234716736370428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1566</v>
      </c>
      <c r="C54" s="4">
        <v>3200.5714290000001</v>
      </c>
      <c r="D54" s="26">
        <f t="shared" si="2"/>
        <v>1.0437876302681994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153</v>
      </c>
      <c r="C55" s="4">
        <v>631.14285700000005</v>
      </c>
      <c r="D55" s="26">
        <f t="shared" si="2"/>
        <v>3.1251167124183006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50800</xdr:colOff>
                    <xdr:row>56</xdr:row>
                    <xdr:rowOff>127000</xdr:rowOff>
                  </from>
                  <to>
                    <xdr:col>17</xdr:col>
                    <xdr:colOff>127000</xdr:colOff>
                    <xdr:row>57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38100</xdr:colOff>
                    <xdr:row>58</xdr:row>
                    <xdr:rowOff>127000</xdr:rowOff>
                  </from>
                  <to>
                    <xdr:col>17</xdr:col>
                    <xdr:colOff>127000</xdr:colOff>
                    <xdr:row>59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637A2-7A4E-394A-B1C6-CE0D97E8AD8F}">
  <sheetPr codeName="Sheet14">
    <pageSetUpPr fitToPage="1"/>
  </sheetPr>
  <dimension ref="A1:W60"/>
  <sheetViews>
    <sheetView topLeftCell="C1" zoomScale="85" workbookViewId="0">
      <selection activeCell="V26" sqref="V26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35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1.3089443996776806E-2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1.9011304247542382E-2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0.34799093007111565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0.33983323199777821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0.69598186014223129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0.67966646399555641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0.24190236988519662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0.19538915212689459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0.18844466906489335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0.16969630223649548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0.21198717329555741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0.21198717329555741</v>
      </c>
    </row>
    <row r="16" spans="1:23">
      <c r="A16" s="4">
        <v>7</v>
      </c>
      <c r="B16" s="4">
        <v>27378</v>
      </c>
      <c r="C16" s="4">
        <v>20285</v>
      </c>
      <c r="D16" s="26">
        <f t="shared" ref="D16:D27" si="0">ABS(C16/B16-1)</f>
        <v>0.25907663087150268</v>
      </c>
      <c r="E16" s="8"/>
      <c r="F16" s="15" t="s">
        <v>3</v>
      </c>
      <c r="G16" s="24">
        <f>AVERAGE(D24:D26)</f>
        <v>1.8082598949899447</v>
      </c>
      <c r="I16" s="4">
        <v>7</v>
      </c>
      <c r="J16" s="4">
        <v>27378</v>
      </c>
      <c r="K16" s="4">
        <v>13274</v>
      </c>
      <c r="L16" s="26">
        <f t="shared" ref="L16:L27" si="1">ABS(K16/J16-1)</f>
        <v>0.51515815618379723</v>
      </c>
      <c r="M16" s="8"/>
      <c r="N16" s="15" t="s">
        <v>3</v>
      </c>
      <c r="O16" s="24">
        <f>AVERAGE(L24:L26)</f>
        <v>1.8082598949899447</v>
      </c>
    </row>
    <row r="17" spans="1:15">
      <c r="A17" s="4">
        <v>8</v>
      </c>
      <c r="B17" s="4">
        <v>108692</v>
      </c>
      <c r="C17" s="4">
        <v>57973</v>
      </c>
      <c r="D17" s="26">
        <f t="shared" si="0"/>
        <v>0.46663047878408714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108692</v>
      </c>
      <c r="K17" s="4">
        <v>100973.857143</v>
      </c>
      <c r="L17" s="26">
        <f t="shared" si="1"/>
        <v>7.100930019688656E-2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245469</v>
      </c>
      <c r="C18" s="4">
        <v>151323</v>
      </c>
      <c r="D18" s="26">
        <f t="shared" si="0"/>
        <v>0.38353519181648188</v>
      </c>
      <c r="E18" s="8"/>
      <c r="F18" s="8"/>
      <c r="G18" s="12"/>
      <c r="I18" s="4">
        <v>9</v>
      </c>
      <c r="J18" s="4">
        <v>245469</v>
      </c>
      <c r="K18" s="4">
        <v>165129.428571</v>
      </c>
      <c r="L18" s="26">
        <f t="shared" si="1"/>
        <v>0.32729009133128828</v>
      </c>
      <c r="M18" s="8"/>
      <c r="N18" s="8"/>
      <c r="O18" s="12"/>
    </row>
    <row r="19" spans="1:15">
      <c r="A19" s="4">
        <v>10</v>
      </c>
      <c r="B19" s="4">
        <v>259718</v>
      </c>
      <c r="C19" s="4">
        <v>292041</v>
      </c>
      <c r="D19" s="26">
        <f t="shared" si="0"/>
        <v>0.12445421572628779</v>
      </c>
      <c r="E19" s="8"/>
      <c r="F19" s="8"/>
      <c r="G19" s="12"/>
      <c r="I19" s="4">
        <v>10</v>
      </c>
      <c r="J19" s="4">
        <v>259718</v>
      </c>
      <c r="K19" s="4">
        <v>292041</v>
      </c>
      <c r="L19" s="26">
        <f t="shared" si="1"/>
        <v>0.12445421572628779</v>
      </c>
      <c r="M19" s="8"/>
      <c r="N19" s="8"/>
      <c r="O19" s="12"/>
    </row>
    <row r="20" spans="1:15" ht="16" customHeight="1">
      <c r="A20" s="4">
        <v>11</v>
      </c>
      <c r="B20" s="4">
        <v>221782</v>
      </c>
      <c r="C20" s="4">
        <v>234500</v>
      </c>
      <c r="D20" s="26">
        <f t="shared" si="0"/>
        <v>5.7344599651910411E-2</v>
      </c>
      <c r="E20" s="8"/>
      <c r="F20" s="37" t="s">
        <v>18</v>
      </c>
      <c r="G20" s="38">
        <f>SUM(B9:B32)</f>
        <v>1551250</v>
      </c>
      <c r="I20" s="4">
        <v>11</v>
      </c>
      <c r="J20" s="4">
        <v>221782</v>
      </c>
      <c r="K20" s="4">
        <v>234500</v>
      </c>
      <c r="L20" s="26">
        <f t="shared" si="1"/>
        <v>5.7344599651910411E-2</v>
      </c>
      <c r="M20" s="8"/>
      <c r="N20" s="37" t="s">
        <v>18</v>
      </c>
      <c r="O20" s="38">
        <f>SUM(J9:J32)</f>
        <v>1551250</v>
      </c>
    </row>
    <row r="21" spans="1:15">
      <c r="A21" s="4">
        <v>12</v>
      </c>
      <c r="B21" s="4">
        <v>184258</v>
      </c>
      <c r="C21" s="4">
        <v>200025</v>
      </c>
      <c r="D21" s="26">
        <f t="shared" si="0"/>
        <v>8.557023304279876E-2</v>
      </c>
      <c r="E21" s="8"/>
      <c r="F21" s="37"/>
      <c r="G21" s="38"/>
      <c r="I21" s="4">
        <v>12</v>
      </c>
      <c r="J21" s="4">
        <v>184258</v>
      </c>
      <c r="K21" s="4">
        <v>200025</v>
      </c>
      <c r="L21" s="26">
        <f t="shared" si="1"/>
        <v>8.557023304279876E-2</v>
      </c>
      <c r="M21" s="8"/>
      <c r="N21" s="37"/>
      <c r="O21" s="38"/>
    </row>
    <row r="22" spans="1:15" ht="16" customHeight="1">
      <c r="A22" s="4">
        <v>13</v>
      </c>
      <c r="B22" s="4">
        <v>202371</v>
      </c>
      <c r="C22" s="4">
        <v>165188</v>
      </c>
      <c r="D22" s="26">
        <f t="shared" si="0"/>
        <v>0.18373680023323502</v>
      </c>
      <c r="E22" s="8"/>
      <c r="F22" s="37" t="s">
        <v>19</v>
      </c>
      <c r="G22" s="38">
        <f>SUM(C9:C32)</f>
        <v>1530945</v>
      </c>
      <c r="I22" s="4">
        <v>13</v>
      </c>
      <c r="J22" s="4">
        <v>202371</v>
      </c>
      <c r="K22" s="4">
        <v>165188</v>
      </c>
      <c r="L22" s="26">
        <f t="shared" si="1"/>
        <v>0.18373680023323502</v>
      </c>
      <c r="M22" s="8"/>
      <c r="N22" s="37" t="s">
        <v>19</v>
      </c>
      <c r="O22" s="38">
        <f>SUM(K9:K32)</f>
        <v>1580741.285714</v>
      </c>
    </row>
    <row r="23" spans="1:15">
      <c r="A23" s="4">
        <v>14</v>
      </c>
      <c r="B23" s="4">
        <v>153256</v>
      </c>
      <c r="C23" s="4">
        <v>209448</v>
      </c>
      <c r="D23" s="26">
        <f t="shared" si="0"/>
        <v>0.36665448661063849</v>
      </c>
      <c r="E23" s="8"/>
      <c r="F23" s="37"/>
      <c r="G23" s="38"/>
      <c r="I23" s="4">
        <v>14</v>
      </c>
      <c r="J23" s="4">
        <v>153256</v>
      </c>
      <c r="K23" s="4">
        <v>209448</v>
      </c>
      <c r="L23" s="26">
        <f t="shared" si="1"/>
        <v>0.36665448661063849</v>
      </c>
      <c r="M23" s="8"/>
      <c r="N23" s="37"/>
      <c r="O23" s="38"/>
    </row>
    <row r="24" spans="1:15">
      <c r="A24" s="4">
        <v>15</v>
      </c>
      <c r="B24" s="4">
        <v>77703</v>
      </c>
      <c r="C24" s="4">
        <v>113101</v>
      </c>
      <c r="D24" s="26">
        <f t="shared" si="0"/>
        <v>0.45555512657168973</v>
      </c>
      <c r="E24" s="8"/>
      <c r="F24" s="8"/>
      <c r="G24" s="12"/>
      <c r="I24" s="4">
        <v>15</v>
      </c>
      <c r="J24" s="4">
        <v>77703</v>
      </c>
      <c r="K24" s="4">
        <v>113101</v>
      </c>
      <c r="L24" s="26">
        <f t="shared" si="1"/>
        <v>0.45555512657168973</v>
      </c>
      <c r="M24" s="8"/>
      <c r="N24" s="8"/>
      <c r="O24" s="12"/>
    </row>
    <row r="25" spans="1:15">
      <c r="A25" s="4">
        <v>16</v>
      </c>
      <c r="B25" s="4">
        <v>62739</v>
      </c>
      <c r="C25" s="4">
        <v>42950</v>
      </c>
      <c r="D25" s="26">
        <f t="shared" si="0"/>
        <v>0.31541784217153601</v>
      </c>
      <c r="E25" s="8"/>
      <c r="F25" s="8"/>
      <c r="G25" s="12"/>
      <c r="I25" s="4">
        <v>16</v>
      </c>
      <c r="J25" s="4">
        <v>62739</v>
      </c>
      <c r="K25" s="4">
        <v>42950</v>
      </c>
      <c r="L25" s="26">
        <f t="shared" si="1"/>
        <v>0.31541784217153601</v>
      </c>
      <c r="M25" s="8"/>
      <c r="N25" s="8"/>
      <c r="O25" s="12"/>
    </row>
    <row r="26" spans="1:15">
      <c r="A26" s="4">
        <v>17</v>
      </c>
      <c r="B26" s="4">
        <v>7802</v>
      </c>
      <c r="C26" s="4">
        <v>44111</v>
      </c>
      <c r="D26" s="26">
        <f t="shared" si="0"/>
        <v>4.6538067162266081</v>
      </c>
      <c r="E26" s="8"/>
      <c r="F26" s="8"/>
      <c r="G26" s="12"/>
      <c r="I26" s="4">
        <v>17</v>
      </c>
      <c r="J26" s="4">
        <v>7802</v>
      </c>
      <c r="K26" s="4">
        <v>44111</v>
      </c>
      <c r="L26" s="26">
        <f t="shared" si="1"/>
        <v>4.6538067162266081</v>
      </c>
      <c r="M26" s="8"/>
      <c r="N26" s="8"/>
      <c r="O26" s="12"/>
    </row>
    <row r="27" spans="1:15">
      <c r="A27" s="4">
        <v>18</v>
      </c>
      <c r="B27" s="4">
        <v>82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82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0.10179495798291693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5.7360112083333332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11.472022416666666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0.19538900000000001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0.16969633333333334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0.21198700000000001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27378</v>
      </c>
      <c r="C44" s="4">
        <v>13274</v>
      </c>
      <c r="D44" s="29">
        <v>0.515158</v>
      </c>
      <c r="E44" s="8"/>
      <c r="F44" s="15" t="s">
        <v>3</v>
      </c>
      <c r="G44" s="24">
        <f>AVERAGE(D52:D54)</f>
        <v>3.2407503333333332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108692</v>
      </c>
      <c r="C45" s="4">
        <v>100973.857143</v>
      </c>
      <c r="D45" s="29">
        <v>7.1009000000000003E-2</v>
      </c>
      <c r="E45" s="8"/>
      <c r="F45" s="15" t="s">
        <v>4</v>
      </c>
      <c r="G45" s="24">
        <f>AVERAGE(D55:D57)</f>
        <v>42.070267000000001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245469</v>
      </c>
      <c r="C46" s="4">
        <v>165129.428571</v>
      </c>
      <c r="D46" s="29">
        <v>0.32729000000000003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259718</v>
      </c>
      <c r="C47" s="4">
        <v>292041</v>
      </c>
      <c r="D47" s="29">
        <v>0.124454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221782</v>
      </c>
      <c r="C48" s="4">
        <v>234500</v>
      </c>
      <c r="D48" s="29">
        <v>5.7345E-2</v>
      </c>
      <c r="E48" s="8"/>
      <c r="F48" s="37" t="s">
        <v>18</v>
      </c>
      <c r="G48" s="38">
        <f>SUM(B37:B60)</f>
        <v>1551250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184258</v>
      </c>
      <c r="C49" s="4">
        <v>200025</v>
      </c>
      <c r="D49" s="29">
        <v>8.5569999999999993E-2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202371</v>
      </c>
      <c r="C50" s="4">
        <v>165188</v>
      </c>
      <c r="D50" s="29">
        <v>0.18373700000000001</v>
      </c>
      <c r="E50" s="8"/>
      <c r="F50" s="37" t="s">
        <v>19</v>
      </c>
      <c r="G50" s="38">
        <f>SUM(C37:C60)</f>
        <v>1709159.428571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153256</v>
      </c>
      <c r="C51" s="4">
        <v>209448</v>
      </c>
      <c r="D51" s="29">
        <v>0.36665399999999998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77703</v>
      </c>
      <c r="C52" s="4">
        <v>113101</v>
      </c>
      <c r="D52" s="29">
        <v>0.45555499999999999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62739</v>
      </c>
      <c r="C53" s="4">
        <v>133781.714286</v>
      </c>
      <c r="D53" s="29">
        <v>1.1323529999999999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7802</v>
      </c>
      <c r="C54" s="4">
        <v>71266.142856999999</v>
      </c>
      <c r="D54" s="29">
        <v>8.1343429999999994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82</v>
      </c>
      <c r="C55" s="4">
        <v>10431.285714</v>
      </c>
      <c r="D55" s="29">
        <v>126.210801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12700</xdr:colOff>
                    <xdr:row>56</xdr:row>
                    <xdr:rowOff>63500</xdr:rowOff>
                  </from>
                  <to>
                    <xdr:col>17</xdr:col>
                    <xdr:colOff>101600</xdr:colOff>
                    <xdr:row>57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12700</xdr:colOff>
                    <xdr:row>58</xdr:row>
                    <xdr:rowOff>63500</xdr:rowOff>
                  </from>
                  <to>
                    <xdr:col>17</xdr:col>
                    <xdr:colOff>101600</xdr:colOff>
                    <xdr:row>59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59A3E-820C-064E-897C-441B314899D6}">
  <sheetPr codeName="Sheet15">
    <pageSetUpPr fitToPage="1"/>
  </sheetPr>
  <dimension ref="A1:W60"/>
  <sheetViews>
    <sheetView topLeftCell="F4" zoomScale="102" workbookViewId="0">
      <selection activeCell="Q21" sqref="Q2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3.4820263058436329E-2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4.6036566570081261E-3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0.7191076398507027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0.69442588582314713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1.4382152797014054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1.3888517716462943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0.29346846849529418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0.10257402361028407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9.1665042667074537E-2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8.5105455331640045E-2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8.738892502252904E-2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8.738892502252904E-2</v>
      </c>
    </row>
    <row r="16" spans="1:23">
      <c r="A16" s="4">
        <v>7</v>
      </c>
      <c r="B16" s="4">
        <v>10067</v>
      </c>
      <c r="C16" s="4">
        <v>13207</v>
      </c>
      <c r="D16" s="26">
        <f t="shared" ref="D16:D27" si="0">ABS(C16/B16-1)</f>
        <v>0.31191020164895211</v>
      </c>
      <c r="E16" s="8"/>
      <c r="F16" s="15" t="s">
        <v>3</v>
      </c>
      <c r="G16" s="24">
        <f>AVERAGE(D24:D26)</f>
        <v>1.1028495051315457</v>
      </c>
      <c r="I16" s="4">
        <v>7</v>
      </c>
      <c r="J16" s="4">
        <v>10067</v>
      </c>
      <c r="K16" s="4">
        <v>8428.4285710000004</v>
      </c>
      <c r="L16" s="26">
        <f t="shared" ref="L16:L27" si="1">ABS(K16/J16-1)</f>
        <v>0.16276660663554188</v>
      </c>
      <c r="M16" s="8"/>
      <c r="N16" s="15" t="s">
        <v>3</v>
      </c>
      <c r="O16" s="24">
        <f>AVERAGE(L24:L26)</f>
        <v>1.1028495051315457</v>
      </c>
    </row>
    <row r="17" spans="1:15">
      <c r="A17" s="4">
        <v>8</v>
      </c>
      <c r="B17" s="4">
        <v>60048</v>
      </c>
      <c r="C17" s="4">
        <v>25911</v>
      </c>
      <c r="D17" s="26">
        <f t="shared" si="0"/>
        <v>0.56849520383693042</v>
      </c>
      <c r="E17" s="8"/>
      <c r="F17" s="15" t="s">
        <v>4</v>
      </c>
      <c r="G17" s="24">
        <f>AVERAGE(D27:D29)</f>
        <v>4.1774891774891776</v>
      </c>
      <c r="I17" s="4">
        <v>8</v>
      </c>
      <c r="J17" s="4">
        <v>60048</v>
      </c>
      <c r="K17" s="4">
        <v>51343.714286000002</v>
      </c>
      <c r="L17" s="26">
        <f t="shared" si="1"/>
        <v>0.14495546419531036</v>
      </c>
      <c r="M17" s="8"/>
      <c r="N17" s="15" t="s">
        <v>4</v>
      </c>
      <c r="O17" s="24">
        <f>AVERAGE(L27:L29)</f>
        <v>4.1774891774891776</v>
      </c>
    </row>
    <row r="18" spans="1:15">
      <c r="A18" s="4">
        <v>9</v>
      </c>
      <c r="B18" s="4">
        <v>96137</v>
      </c>
      <c r="C18" s="4">
        <v>81036</v>
      </c>
      <c r="D18" s="26">
        <f t="shared" si="0"/>
        <v>0.15707792005159305</v>
      </c>
      <c r="E18" s="8"/>
      <c r="F18" s="8"/>
      <c r="G18" s="12"/>
      <c r="I18" s="4">
        <v>9</v>
      </c>
      <c r="J18" s="4">
        <v>96137</v>
      </c>
      <c r="K18" s="4">
        <v>82927.857143000001</v>
      </c>
      <c r="L18" s="26">
        <f t="shared" si="1"/>
        <v>0.13739915804528957</v>
      </c>
      <c r="M18" s="8"/>
      <c r="N18" s="8"/>
      <c r="O18" s="12"/>
    </row>
    <row r="19" spans="1:15">
      <c r="A19" s="4">
        <v>10</v>
      </c>
      <c r="B19" s="4">
        <v>96758</v>
      </c>
      <c r="C19" s="4">
        <v>99823</v>
      </c>
      <c r="D19" s="26">
        <f t="shared" si="0"/>
        <v>3.1676967279191448E-2</v>
      </c>
      <c r="E19" s="8"/>
      <c r="F19" s="8"/>
      <c r="G19" s="12"/>
      <c r="I19" s="4">
        <v>10</v>
      </c>
      <c r="J19" s="4">
        <v>96758</v>
      </c>
      <c r="K19" s="4">
        <v>99823</v>
      </c>
      <c r="L19" s="26">
        <f t="shared" si="1"/>
        <v>3.1676967279191448E-2</v>
      </c>
      <c r="M19" s="8"/>
      <c r="N19" s="8"/>
      <c r="O19" s="12"/>
    </row>
    <row r="20" spans="1:15" ht="16" customHeight="1">
      <c r="A20" s="4">
        <v>11</v>
      </c>
      <c r="B20" s="4">
        <v>97727</v>
      </c>
      <c r="C20" s="4">
        <v>89299</v>
      </c>
      <c r="D20" s="26">
        <f t="shared" si="0"/>
        <v>8.6240240670439117E-2</v>
      </c>
      <c r="E20" s="8"/>
      <c r="F20" s="37" t="s">
        <v>18</v>
      </c>
      <c r="G20" s="38">
        <f>SUM(B9:B32)</f>
        <v>746146</v>
      </c>
      <c r="I20" s="4">
        <v>11</v>
      </c>
      <c r="J20" s="4">
        <v>97727</v>
      </c>
      <c r="K20" s="4">
        <v>89299</v>
      </c>
      <c r="L20" s="26">
        <f t="shared" si="1"/>
        <v>8.6240240670439117E-2</v>
      </c>
      <c r="M20" s="8"/>
      <c r="N20" s="37" t="s">
        <v>18</v>
      </c>
      <c r="O20" s="38">
        <f>SUM(J9:J32)</f>
        <v>746146</v>
      </c>
    </row>
    <row r="21" spans="1:15">
      <c r="A21" s="4">
        <v>12</v>
      </c>
      <c r="B21" s="4">
        <v>99801</v>
      </c>
      <c r="C21" s="4">
        <v>91978</v>
      </c>
      <c r="D21" s="26">
        <f t="shared" si="0"/>
        <v>7.8385988116351557E-2</v>
      </c>
      <c r="E21" s="8"/>
      <c r="F21" s="37"/>
      <c r="G21" s="38"/>
      <c r="I21" s="4">
        <v>12</v>
      </c>
      <c r="J21" s="4">
        <v>99801</v>
      </c>
      <c r="K21" s="4">
        <v>91978</v>
      </c>
      <c r="L21" s="26">
        <f t="shared" si="1"/>
        <v>7.8385988116351557E-2</v>
      </c>
      <c r="M21" s="8"/>
      <c r="N21" s="37"/>
      <c r="O21" s="38"/>
    </row>
    <row r="22" spans="1:15" ht="16" customHeight="1">
      <c r="A22" s="4">
        <v>13</v>
      </c>
      <c r="B22" s="4">
        <v>91806</v>
      </c>
      <c r="C22" s="4">
        <v>92095</v>
      </c>
      <c r="D22" s="26">
        <f t="shared" si="0"/>
        <v>3.1479424002789358E-3</v>
      </c>
      <c r="E22" s="8"/>
      <c r="F22" s="37" t="s">
        <v>19</v>
      </c>
      <c r="G22" s="38">
        <f>SUM(C9:C32)</f>
        <v>720165</v>
      </c>
      <c r="I22" s="4">
        <v>13</v>
      </c>
      <c r="J22" s="4">
        <v>91806</v>
      </c>
      <c r="K22" s="4">
        <v>92095</v>
      </c>
      <c r="L22" s="26">
        <f t="shared" si="1"/>
        <v>3.1479424002789358E-3</v>
      </c>
      <c r="M22" s="8"/>
      <c r="N22" s="37" t="s">
        <v>19</v>
      </c>
      <c r="O22" s="38">
        <f>SUM(K9:K32)</f>
        <v>742711</v>
      </c>
    </row>
    <row r="23" spans="1:15">
      <c r="A23" s="4">
        <v>14</v>
      </c>
      <c r="B23" s="4">
        <v>98476</v>
      </c>
      <c r="C23" s="4">
        <v>80688</v>
      </c>
      <c r="D23" s="26">
        <f t="shared" si="0"/>
        <v>0.18063284455095663</v>
      </c>
      <c r="E23" s="8"/>
      <c r="F23" s="37"/>
      <c r="G23" s="38"/>
      <c r="I23" s="4">
        <v>14</v>
      </c>
      <c r="J23" s="4">
        <v>98476</v>
      </c>
      <c r="K23" s="4">
        <v>80688</v>
      </c>
      <c r="L23" s="26">
        <f t="shared" si="1"/>
        <v>0.18063284455095663</v>
      </c>
      <c r="M23" s="8"/>
      <c r="N23" s="37"/>
      <c r="O23" s="38"/>
    </row>
    <row r="24" spans="1:15">
      <c r="A24" s="4">
        <v>15</v>
      </c>
      <c r="B24" s="4">
        <v>72915</v>
      </c>
      <c r="C24" s="4">
        <v>90965</v>
      </c>
      <c r="D24" s="26">
        <f t="shared" si="0"/>
        <v>0.24754851539463751</v>
      </c>
      <c r="E24" s="8"/>
      <c r="F24" s="8"/>
      <c r="G24" s="12"/>
      <c r="I24" s="4">
        <v>15</v>
      </c>
      <c r="J24" s="4">
        <v>72915</v>
      </c>
      <c r="K24" s="4">
        <v>90965</v>
      </c>
      <c r="L24" s="26">
        <f t="shared" si="1"/>
        <v>0.24754851539463751</v>
      </c>
      <c r="M24" s="8"/>
      <c r="N24" s="8"/>
      <c r="O24" s="12"/>
    </row>
    <row r="25" spans="1:15">
      <c r="A25" s="4">
        <v>16</v>
      </c>
      <c r="B25" s="4">
        <v>17000</v>
      </c>
      <c r="C25" s="4">
        <v>52037</v>
      </c>
      <c r="D25" s="26">
        <f t="shared" si="0"/>
        <v>2.0609999999999999</v>
      </c>
      <c r="E25" s="8"/>
      <c r="F25" s="8"/>
      <c r="G25" s="12"/>
      <c r="I25" s="4">
        <v>16</v>
      </c>
      <c r="J25" s="4">
        <v>17000</v>
      </c>
      <c r="K25" s="4">
        <v>52037</v>
      </c>
      <c r="L25" s="26">
        <f t="shared" si="1"/>
        <v>2.0609999999999999</v>
      </c>
      <c r="M25" s="8"/>
      <c r="N25" s="8"/>
      <c r="O25" s="12"/>
    </row>
    <row r="26" spans="1:15">
      <c r="A26" s="4">
        <v>17</v>
      </c>
      <c r="B26" s="4">
        <v>5180</v>
      </c>
      <c r="C26" s="4">
        <v>0</v>
      </c>
      <c r="D26" s="26">
        <f t="shared" si="0"/>
        <v>1</v>
      </c>
      <c r="E26" s="8"/>
      <c r="F26" s="8"/>
      <c r="G26" s="12"/>
      <c r="I26" s="4">
        <v>17</v>
      </c>
      <c r="J26" s="4">
        <v>5180</v>
      </c>
      <c r="K26" s="4">
        <v>0</v>
      </c>
      <c r="L26" s="26">
        <f t="shared" si="1"/>
        <v>1</v>
      </c>
      <c r="M26" s="8"/>
      <c r="N26" s="8"/>
      <c r="O26" s="12"/>
    </row>
    <row r="27" spans="1:15">
      <c r="A27" s="4">
        <v>18</v>
      </c>
      <c r="B27" s="4">
        <v>231</v>
      </c>
      <c r="C27" s="4">
        <v>3126</v>
      </c>
      <c r="D27" s="26">
        <f t="shared" si="0"/>
        <v>12.532467532467532</v>
      </c>
      <c r="E27" s="8"/>
      <c r="F27" s="8"/>
      <c r="G27" s="12"/>
      <c r="I27" s="4">
        <v>18</v>
      </c>
      <c r="J27" s="4">
        <v>231</v>
      </c>
      <c r="K27" s="4">
        <v>3126</v>
      </c>
      <c r="L27" s="26">
        <f t="shared" si="1"/>
        <v>12.532467532467532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7.5070332845046384E-2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1.4872585613903933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2.9745171227807865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0.10257402361028407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8.5105455331640045E-2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8.738892502252904E-2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10067</v>
      </c>
      <c r="C44" s="4">
        <v>8428.4285710000004</v>
      </c>
      <c r="D44" s="26">
        <f t="shared" ref="D44:D55" si="2">ABS(C44/B44-1)</f>
        <v>0.16276660663554188</v>
      </c>
      <c r="E44" s="8"/>
      <c r="F44" s="15" t="s">
        <v>3</v>
      </c>
      <c r="G44" s="24">
        <f>AVERAGE(D52:D54)</f>
        <v>3.5817714738830784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60048</v>
      </c>
      <c r="C45" s="4">
        <v>51343.714286000002</v>
      </c>
      <c r="D45" s="26">
        <f t="shared" si="2"/>
        <v>0.14495546419531036</v>
      </c>
      <c r="E45" s="8"/>
      <c r="F45" s="15" t="s">
        <v>4</v>
      </c>
      <c r="G45" s="24">
        <f>AVERAGE(D55:D57)</f>
        <v>8.0412286132756119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96137</v>
      </c>
      <c r="C46" s="4">
        <v>82927.857143000001</v>
      </c>
      <c r="D46" s="26">
        <f t="shared" si="2"/>
        <v>0.13739915804528957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96758</v>
      </c>
      <c r="C47" s="4">
        <v>99823</v>
      </c>
      <c r="D47" s="26">
        <f t="shared" si="2"/>
        <v>3.1676967279191448E-2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97727</v>
      </c>
      <c r="C48" s="4">
        <v>89299</v>
      </c>
      <c r="D48" s="26">
        <f t="shared" si="2"/>
        <v>8.6240240670439117E-2</v>
      </c>
      <c r="E48" s="8"/>
      <c r="F48" s="37" t="s">
        <v>18</v>
      </c>
      <c r="G48" s="38">
        <f>SUM(B37:B60)</f>
        <v>746146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99801</v>
      </c>
      <c r="C49" s="4">
        <v>91978</v>
      </c>
      <c r="D49" s="26">
        <f t="shared" si="2"/>
        <v>7.8385988116351557E-2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91806</v>
      </c>
      <c r="C50" s="4">
        <v>92095</v>
      </c>
      <c r="D50" s="26">
        <f t="shared" si="2"/>
        <v>3.1479424002789358E-3</v>
      </c>
      <c r="E50" s="8"/>
      <c r="F50" s="37" t="s">
        <v>19</v>
      </c>
      <c r="G50" s="38">
        <f>SUM(C37:C60)</f>
        <v>802159.428571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98476</v>
      </c>
      <c r="C51" s="4">
        <v>80688</v>
      </c>
      <c r="D51" s="26">
        <f t="shared" si="2"/>
        <v>0.18063284455095663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72915</v>
      </c>
      <c r="C52" s="4">
        <v>90965</v>
      </c>
      <c r="D52" s="26">
        <f t="shared" si="2"/>
        <v>0.24754851539463751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17000</v>
      </c>
      <c r="C53" s="4">
        <v>63382.428570999997</v>
      </c>
      <c r="D53" s="26">
        <f t="shared" si="2"/>
        <v>2.7283781512352938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5180</v>
      </c>
      <c r="C54" s="4">
        <v>45425.428570999997</v>
      </c>
      <c r="D54" s="26">
        <f t="shared" si="2"/>
        <v>7.769387755019304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231</v>
      </c>
      <c r="C55" s="4">
        <v>5803.5714289999996</v>
      </c>
      <c r="D55" s="26">
        <f t="shared" si="2"/>
        <v>24.123685839826837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63500</xdr:colOff>
                    <xdr:row>56</xdr:row>
                    <xdr:rowOff>12700</xdr:rowOff>
                  </from>
                  <to>
                    <xdr:col>17</xdr:col>
                    <xdr:colOff>152400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63500</xdr:colOff>
                    <xdr:row>58</xdr:row>
                    <xdr:rowOff>12700</xdr:rowOff>
                  </from>
                  <to>
                    <xdr:col>17</xdr:col>
                    <xdr:colOff>152400</xdr:colOff>
                    <xdr:row>59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493F-97A6-3B40-A972-E6DA68FD92AF}">
  <sheetPr codeName="Sheet16">
    <pageSetUpPr fitToPage="1"/>
  </sheetPr>
  <dimension ref="A1:W60"/>
  <sheetViews>
    <sheetView topLeftCell="C1" zoomScale="78" workbookViewId="0">
      <selection activeCell="S64" sqref="S64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1.3798327588566917E-2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4.733899395866259E-2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0.64562458603842154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0.66224338347198441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1.2912491720768431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1.3244867669439688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0.14218418564563159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0.19459855017985461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0.182452864741983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0.26298887967626344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0.15935268520705007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0.15935268520705007</v>
      </c>
    </row>
    <row r="16" spans="1:23">
      <c r="A16" s="4">
        <v>7</v>
      </c>
      <c r="B16" s="4">
        <v>17740</v>
      </c>
      <c r="C16" s="4">
        <v>14145</v>
      </c>
      <c r="D16" s="26">
        <f t="shared" ref="D16:D26" si="0">ABS(C16/B16-1)</f>
        <v>0.20264937993235621</v>
      </c>
      <c r="E16" s="8"/>
      <c r="F16" s="15" t="s">
        <v>3</v>
      </c>
      <c r="G16" s="24">
        <f>AVERAGE(D24:D26)</f>
        <v>4.6810069527127078</v>
      </c>
      <c r="I16" s="4">
        <v>7</v>
      </c>
      <c r="J16" s="4">
        <v>17740</v>
      </c>
      <c r="K16" s="4">
        <v>7706.1428569999998</v>
      </c>
      <c r="L16" s="26">
        <f t="shared" ref="L16:L26" si="1">ABS(K16/J16-1)</f>
        <v>0.56560637784667422</v>
      </c>
      <c r="M16" s="8"/>
      <c r="N16" s="15" t="s">
        <v>3</v>
      </c>
      <c r="O16" s="24">
        <f>AVERAGE(L24:L26)</f>
        <v>4.6810069527127078</v>
      </c>
    </row>
    <row r="17" spans="1:15">
      <c r="A17" s="4">
        <v>8</v>
      </c>
      <c r="B17" s="4">
        <v>44948</v>
      </c>
      <c r="C17" s="4">
        <v>34884</v>
      </c>
      <c r="D17" s="26">
        <f t="shared" si="0"/>
        <v>0.22390317700453854</v>
      </c>
      <c r="E17" s="8"/>
      <c r="F17" s="15" t="s">
        <v>4</v>
      </c>
      <c r="G17" s="24">
        <f>AVERAGE(D27:D29)</f>
        <v>0</v>
      </c>
      <c r="I17" s="4">
        <v>8</v>
      </c>
      <c r="J17" s="4">
        <v>44948</v>
      </c>
      <c r="K17" s="4">
        <v>45765.571429000003</v>
      </c>
      <c r="L17" s="26">
        <f t="shared" si="1"/>
        <v>1.8189272692889613E-2</v>
      </c>
      <c r="M17" s="8"/>
      <c r="N17" s="15" t="s">
        <v>4</v>
      </c>
      <c r="O17" s="24">
        <f>AVERAGE(L27:L29)</f>
        <v>0</v>
      </c>
    </row>
    <row r="18" spans="1:15">
      <c r="A18" s="4">
        <v>9</v>
      </c>
      <c r="B18" s="4">
        <v>68701</v>
      </c>
      <c r="C18" s="4">
        <v>59569</v>
      </c>
      <c r="D18" s="26">
        <f t="shared" si="0"/>
        <v>0.13292382934746216</v>
      </c>
      <c r="E18" s="8"/>
      <c r="F18" s="8"/>
      <c r="G18" s="12"/>
      <c r="I18" s="4">
        <v>9</v>
      </c>
      <c r="J18" s="4">
        <v>68701</v>
      </c>
      <c r="K18" s="4">
        <v>94431.714286000002</v>
      </c>
      <c r="L18" s="26">
        <f t="shared" si="1"/>
        <v>0.37453187415030342</v>
      </c>
      <c r="M18" s="8"/>
      <c r="N18" s="8"/>
      <c r="O18" s="12"/>
    </row>
    <row r="19" spans="1:15">
      <c r="A19" s="4">
        <v>10</v>
      </c>
      <c r="B19" s="4">
        <v>107638</v>
      </c>
      <c r="C19" s="4">
        <v>76128</v>
      </c>
      <c r="D19" s="26">
        <f t="shared" si="0"/>
        <v>0.29274048198591573</v>
      </c>
      <c r="E19" s="8"/>
      <c r="F19" s="8"/>
      <c r="G19" s="12"/>
      <c r="I19" s="4">
        <v>10</v>
      </c>
      <c r="J19" s="4">
        <v>107638</v>
      </c>
      <c r="K19" s="4">
        <v>76128</v>
      </c>
      <c r="L19" s="26">
        <f t="shared" si="1"/>
        <v>0.29274048198591573</v>
      </c>
      <c r="M19" s="8"/>
      <c r="N19" s="8"/>
      <c r="O19" s="12"/>
    </row>
    <row r="20" spans="1:15" ht="16" customHeight="1">
      <c r="A20" s="4">
        <v>11</v>
      </c>
      <c r="B20" s="4">
        <v>100243</v>
      </c>
      <c r="C20" s="4">
        <v>112442</v>
      </c>
      <c r="D20" s="26">
        <f t="shared" si="0"/>
        <v>0.12169428289257112</v>
      </c>
      <c r="E20" s="8"/>
      <c r="F20" s="37" t="s">
        <v>18</v>
      </c>
      <c r="G20" s="38">
        <f>SUM(B9:B32)</f>
        <v>642904</v>
      </c>
      <c r="I20" s="4">
        <v>11</v>
      </c>
      <c r="J20" s="4">
        <v>100243</v>
      </c>
      <c r="K20" s="4">
        <v>112442</v>
      </c>
      <c r="L20" s="26">
        <f t="shared" si="1"/>
        <v>0.12169428289257112</v>
      </c>
      <c r="M20" s="8"/>
      <c r="N20" s="37" t="s">
        <v>18</v>
      </c>
      <c r="O20" s="38">
        <f>SUM(J9:J32)</f>
        <v>642904</v>
      </c>
    </row>
    <row r="21" spans="1:15">
      <c r="A21" s="4">
        <v>12</v>
      </c>
      <c r="B21" s="4">
        <v>79295</v>
      </c>
      <c r="C21" s="4">
        <v>88579</v>
      </c>
      <c r="D21" s="26">
        <f t="shared" si="0"/>
        <v>0.11708178321457852</v>
      </c>
      <c r="E21" s="8"/>
      <c r="F21" s="37"/>
      <c r="G21" s="38"/>
      <c r="I21" s="4">
        <v>12</v>
      </c>
      <c r="J21" s="4">
        <v>79295</v>
      </c>
      <c r="K21" s="4">
        <v>88579</v>
      </c>
      <c r="L21" s="26">
        <f t="shared" si="1"/>
        <v>0.11708178321457852</v>
      </c>
      <c r="M21" s="8"/>
      <c r="N21" s="37"/>
      <c r="O21" s="38"/>
    </row>
    <row r="22" spans="1:15" ht="16" customHeight="1">
      <c r="A22" s="4">
        <v>13</v>
      </c>
      <c r="B22" s="4">
        <v>84740</v>
      </c>
      <c r="C22" s="4">
        <v>65495</v>
      </c>
      <c r="D22" s="26">
        <f t="shared" si="0"/>
        <v>0.22710644323814022</v>
      </c>
      <c r="E22" s="8"/>
      <c r="F22" s="37" t="s">
        <v>19</v>
      </c>
      <c r="G22" s="38">
        <f>SUM(C9:C32)</f>
        <v>634033</v>
      </c>
      <c r="I22" s="4">
        <v>13</v>
      </c>
      <c r="J22" s="4">
        <v>84740</v>
      </c>
      <c r="K22" s="4">
        <v>65495</v>
      </c>
      <c r="L22" s="26">
        <f t="shared" si="1"/>
        <v>0.22710644323814022</v>
      </c>
      <c r="M22" s="8"/>
      <c r="N22" s="37" t="s">
        <v>19</v>
      </c>
      <c r="O22" s="38">
        <f>SUM(K9:K32)</f>
        <v>673338.428572</v>
      </c>
    </row>
    <row r="23" spans="1:15">
      <c r="A23" s="4">
        <v>14</v>
      </c>
      <c r="B23" s="4">
        <v>70830</v>
      </c>
      <c r="C23" s="4">
        <v>80312</v>
      </c>
      <c r="D23" s="26">
        <f t="shared" si="0"/>
        <v>0.13386982916843149</v>
      </c>
      <c r="E23" s="8"/>
      <c r="F23" s="37"/>
      <c r="G23" s="38"/>
      <c r="I23" s="4">
        <v>14</v>
      </c>
      <c r="J23" s="4">
        <v>70830</v>
      </c>
      <c r="K23" s="4">
        <v>80312</v>
      </c>
      <c r="L23" s="26">
        <f t="shared" si="1"/>
        <v>0.13386982916843149</v>
      </c>
      <c r="M23" s="8"/>
      <c r="N23" s="37"/>
      <c r="O23" s="38"/>
    </row>
    <row r="24" spans="1:15">
      <c r="A24" s="4">
        <v>15</v>
      </c>
      <c r="B24" s="4">
        <v>45907</v>
      </c>
      <c r="C24" s="4">
        <v>58144</v>
      </c>
      <c r="D24" s="26">
        <f t="shared" si="0"/>
        <v>0.26656065523776329</v>
      </c>
      <c r="E24" s="8"/>
      <c r="F24" s="8"/>
      <c r="G24" s="12"/>
      <c r="I24" s="4">
        <v>15</v>
      </c>
      <c r="J24" s="4">
        <v>45907</v>
      </c>
      <c r="K24" s="4">
        <v>58144</v>
      </c>
      <c r="L24" s="26">
        <f t="shared" si="1"/>
        <v>0.26656065523776329</v>
      </c>
      <c r="M24" s="8"/>
      <c r="N24" s="8"/>
      <c r="O24" s="12"/>
    </row>
    <row r="25" spans="1:15">
      <c r="A25" s="4">
        <v>16</v>
      </c>
      <c r="B25" s="4">
        <v>21979</v>
      </c>
      <c r="C25" s="4">
        <v>31677</v>
      </c>
      <c r="D25" s="26">
        <f t="shared" si="0"/>
        <v>0.4412393648482642</v>
      </c>
      <c r="E25" s="8"/>
      <c r="F25" s="8"/>
      <c r="G25" s="12"/>
      <c r="I25" s="4">
        <v>16</v>
      </c>
      <c r="J25" s="4">
        <v>21979</v>
      </c>
      <c r="K25" s="4">
        <v>31677</v>
      </c>
      <c r="L25" s="26">
        <f t="shared" si="1"/>
        <v>0.4412393648482642</v>
      </c>
      <c r="M25" s="8"/>
      <c r="N25" s="8"/>
      <c r="O25" s="12"/>
    </row>
    <row r="26" spans="1:15">
      <c r="A26" s="4">
        <v>17</v>
      </c>
      <c r="B26" s="4">
        <v>883</v>
      </c>
      <c r="C26" s="4">
        <v>12658</v>
      </c>
      <c r="D26" s="26">
        <f t="shared" si="0"/>
        <v>13.335220838052095</v>
      </c>
      <c r="E26" s="8"/>
      <c r="F26" s="8"/>
      <c r="G26" s="12"/>
      <c r="I26" s="4">
        <v>17</v>
      </c>
      <c r="J26" s="4">
        <v>883</v>
      </c>
      <c r="K26" s="4">
        <v>12658</v>
      </c>
      <c r="L26" s="26">
        <f t="shared" si="1"/>
        <v>13.335220838052095</v>
      </c>
      <c r="M26" s="8"/>
      <c r="N26" s="8"/>
      <c r="O26" s="12"/>
    </row>
    <row r="27" spans="1:15">
      <c r="A27" s="4">
        <v>18</v>
      </c>
      <c r="B27" s="4">
        <v>0</v>
      </c>
      <c r="C27" s="4">
        <v>0</v>
      </c>
      <c r="D27" s="4">
        <v>0</v>
      </c>
      <c r="E27" s="8"/>
      <c r="F27" s="8"/>
      <c r="G27" s="12"/>
      <c r="I27" s="4">
        <v>18</v>
      </c>
      <c r="J27" s="4">
        <v>0</v>
      </c>
      <c r="K27" s="4">
        <v>0</v>
      </c>
      <c r="L27" s="4">
        <v>0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0.17139661820271757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2.2612427894364271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4.5224855788728542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0.19459855017985461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0.26298887967626344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0.15935268520705007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17740</v>
      </c>
      <c r="C44" s="4">
        <v>7706.1428569999998</v>
      </c>
      <c r="D44" s="26">
        <f t="shared" ref="D44:D54" si="2">ABS(C44/B44-1)</f>
        <v>0.56560637784667422</v>
      </c>
      <c r="E44" s="8"/>
      <c r="F44" s="15" t="s">
        <v>3</v>
      </c>
      <c r="G44" s="24">
        <f>AVERAGE(D52:D54)</f>
        <v>17.473002200428247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44948</v>
      </c>
      <c r="C45" s="4">
        <v>45765.571429000003</v>
      </c>
      <c r="D45" s="26">
        <f t="shared" si="2"/>
        <v>1.8189272692889613E-2</v>
      </c>
      <c r="E45" s="8"/>
      <c r="F45" s="15" t="s">
        <v>4</v>
      </c>
      <c r="G45" s="24">
        <f>AVERAGE(D55:D57)</f>
        <v>0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68701</v>
      </c>
      <c r="C46" s="4">
        <v>94431.714286000002</v>
      </c>
      <c r="D46" s="26">
        <f t="shared" si="2"/>
        <v>0.37453187415030342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107638</v>
      </c>
      <c r="C47" s="4">
        <v>76128</v>
      </c>
      <c r="D47" s="26">
        <f t="shared" si="2"/>
        <v>0.29274048198591573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100243</v>
      </c>
      <c r="C48" s="4">
        <v>112442</v>
      </c>
      <c r="D48" s="26">
        <f t="shared" si="2"/>
        <v>0.12169428289257112</v>
      </c>
      <c r="E48" s="8"/>
      <c r="F48" s="37" t="s">
        <v>18</v>
      </c>
      <c r="G48" s="38">
        <f>SUM(B37:B60)</f>
        <v>642904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79295</v>
      </c>
      <c r="C49" s="4">
        <v>88579</v>
      </c>
      <c r="D49" s="26">
        <f t="shared" si="2"/>
        <v>0.11708178321457852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84740</v>
      </c>
      <c r="C50" s="4">
        <v>65495</v>
      </c>
      <c r="D50" s="26">
        <f t="shared" si="2"/>
        <v>0.22710644323814022</v>
      </c>
      <c r="E50" s="8"/>
      <c r="F50" s="37" t="s">
        <v>19</v>
      </c>
      <c r="G50" s="38">
        <f>SUM(C37:C60)</f>
        <v>753095.571429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70830</v>
      </c>
      <c r="C51" s="4">
        <v>80312</v>
      </c>
      <c r="D51" s="26">
        <f t="shared" si="2"/>
        <v>0.13386982916843149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45907</v>
      </c>
      <c r="C52" s="4">
        <v>58144</v>
      </c>
      <c r="D52" s="26">
        <f t="shared" si="2"/>
        <v>0.26656065523776329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21979</v>
      </c>
      <c r="C53" s="4">
        <v>79468.142856999999</v>
      </c>
      <c r="D53" s="26">
        <f t="shared" si="2"/>
        <v>2.6156396040311205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883</v>
      </c>
      <c r="C54" s="4">
        <v>44624</v>
      </c>
      <c r="D54" s="26">
        <f t="shared" si="2"/>
        <v>49.536806342015858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0</v>
      </c>
      <c r="C55" s="4">
        <v>0</v>
      </c>
      <c r="D55" s="4">
        <v>0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55</xdr:row>
                    <xdr:rowOff>177800</xdr:rowOff>
                  </from>
                  <to>
                    <xdr:col>17</xdr:col>
                    <xdr:colOff>114300</xdr:colOff>
                    <xdr:row>56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57</xdr:row>
                    <xdr:rowOff>165100</xdr:rowOff>
                  </from>
                  <to>
                    <xdr:col>17</xdr:col>
                    <xdr:colOff>114300</xdr:colOff>
                    <xdr:row>58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BAA9-AA47-2843-9938-AFF2235F7FF1}">
  <sheetPr codeName="Sheet17">
    <tabColor rgb="FFFF0000"/>
    <pageSetUpPr fitToPage="1"/>
  </sheetPr>
  <dimension ref="A1:W60"/>
  <sheetViews>
    <sheetView topLeftCell="B1" zoomScale="66" workbookViewId="0">
      <selection activeCell="U25" sqref="U23:U25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1</v>
      </c>
      <c r="I5" s="15" t="str">
        <f>IF(ISBLANK(H5)," ",F3&amp;"("&amp;F5&amp;","&amp;G5&amp;","&amp;H5&amp;")")</f>
        <v>ARIMA(8,1,1)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8.6515920778631017E-2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0.1896864003166564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0.83953258333333325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0.6240560833333334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1.6790651666666665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1.2481121666666668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2.6621456666666665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0.65207033333333342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0.26151833333333335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0.54778166666666672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6.8985333333333329E-2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6.8985333333333329E-2</v>
      </c>
    </row>
    <row r="16" spans="1:23">
      <c r="A16" s="4">
        <v>7</v>
      </c>
      <c r="B16" s="4">
        <v>423</v>
      </c>
      <c r="C16" s="4">
        <v>3423</v>
      </c>
      <c r="D16" s="26">
        <v>7.0921989999999999</v>
      </c>
      <c r="E16" s="8"/>
      <c r="F16" s="15" t="s">
        <v>3</v>
      </c>
      <c r="G16" s="24">
        <f>AVERAGE(D24:D26)</f>
        <v>3.3902779999999999</v>
      </c>
      <c r="I16" s="4">
        <v>7</v>
      </c>
      <c r="J16" s="4">
        <v>423</v>
      </c>
      <c r="K16" s="4">
        <v>0</v>
      </c>
      <c r="L16" s="26">
        <v>1</v>
      </c>
      <c r="M16" s="8"/>
      <c r="N16" s="15" t="s">
        <v>3</v>
      </c>
      <c r="O16" s="24">
        <f>AVERAGE(L24:L26)</f>
        <v>3.3902779999999999</v>
      </c>
    </row>
    <row r="17" spans="1:15">
      <c r="A17" s="4">
        <v>8</v>
      </c>
      <c r="B17" s="4">
        <v>36431</v>
      </c>
      <c r="C17" s="4">
        <v>3853</v>
      </c>
      <c r="D17" s="26">
        <v>0.89423799999999998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36431</v>
      </c>
      <c r="K17" s="4">
        <v>1595.2857140000001</v>
      </c>
      <c r="L17" s="26">
        <v>0.95621100000000003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52114</v>
      </c>
      <c r="C18" s="4">
        <v>47972</v>
      </c>
      <c r="D18" s="26">
        <v>7.9479999999999995E-2</v>
      </c>
      <c r="E18" s="8"/>
      <c r="F18" s="8"/>
      <c r="G18" s="12"/>
      <c r="I18" s="4">
        <v>9</v>
      </c>
      <c r="J18" s="4">
        <v>52114</v>
      </c>
      <c r="K18" s="4">
        <v>3217</v>
      </c>
      <c r="L18" s="26">
        <v>0.93827000000000005</v>
      </c>
      <c r="M18" s="8"/>
      <c r="N18" s="8"/>
      <c r="O18" s="12"/>
    </row>
    <row r="19" spans="1:15">
      <c r="A19" s="4">
        <v>10</v>
      </c>
      <c r="B19" s="4">
        <v>91738</v>
      </c>
      <c r="C19" s="4">
        <v>50898</v>
      </c>
      <c r="D19" s="26">
        <v>0.44518099999999999</v>
      </c>
      <c r="E19" s="8"/>
      <c r="F19" s="8"/>
      <c r="G19" s="12"/>
      <c r="I19" s="4">
        <v>10</v>
      </c>
      <c r="J19" s="4">
        <v>91738</v>
      </c>
      <c r="K19" s="4">
        <v>50898</v>
      </c>
      <c r="L19" s="26">
        <v>0.44518099999999999</v>
      </c>
      <c r="M19" s="8"/>
      <c r="N19" s="8"/>
      <c r="O19" s="12"/>
    </row>
    <row r="20" spans="1:15" ht="16" customHeight="1">
      <c r="A20" s="4">
        <v>11</v>
      </c>
      <c r="B20" s="4">
        <v>75400</v>
      </c>
      <c r="C20" s="4">
        <v>94996</v>
      </c>
      <c r="D20" s="26">
        <v>0.25989400000000001</v>
      </c>
      <c r="E20" s="8"/>
      <c r="F20" s="37" t="s">
        <v>18</v>
      </c>
      <c r="G20" s="38">
        <f>SUM(B9:B32)</f>
        <v>488858</v>
      </c>
      <c r="I20" s="4">
        <v>11</v>
      </c>
      <c r="J20" s="4">
        <v>75400</v>
      </c>
      <c r="K20" s="4">
        <v>94996</v>
      </c>
      <c r="L20" s="26">
        <v>0.25989400000000001</v>
      </c>
      <c r="M20" s="8"/>
      <c r="N20" s="37" t="s">
        <v>18</v>
      </c>
      <c r="O20" s="38">
        <f>SUM(J9:J32)</f>
        <v>488858</v>
      </c>
    </row>
    <row r="21" spans="1:15">
      <c r="A21" s="4">
        <v>12</v>
      </c>
      <c r="B21" s="4">
        <v>59278</v>
      </c>
      <c r="C21" s="4">
        <v>59716</v>
      </c>
      <c r="D21" s="26">
        <v>7.3889999999999997E-3</v>
      </c>
      <c r="E21" s="8"/>
      <c r="F21" s="37"/>
      <c r="G21" s="38"/>
      <c r="I21" s="4">
        <v>12</v>
      </c>
      <c r="J21" s="4">
        <v>59278</v>
      </c>
      <c r="K21" s="4">
        <v>59716</v>
      </c>
      <c r="L21" s="26">
        <v>7.3889999999999997E-3</v>
      </c>
      <c r="M21" s="8"/>
      <c r="N21" s="37"/>
      <c r="O21" s="38"/>
    </row>
    <row r="22" spans="1:15" ht="16" customHeight="1">
      <c r="A22" s="4">
        <v>13</v>
      </c>
      <c r="B22" s="4">
        <v>60262</v>
      </c>
      <c r="C22" s="4">
        <v>49185</v>
      </c>
      <c r="D22" s="26">
        <v>0.18381400000000001</v>
      </c>
      <c r="E22" s="8"/>
      <c r="F22" s="37" t="s">
        <v>19</v>
      </c>
      <c r="G22" s="38">
        <f>SUM(C9:C32)</f>
        <v>446564</v>
      </c>
      <c r="I22" s="4">
        <v>13</v>
      </c>
      <c r="J22" s="4">
        <v>60262</v>
      </c>
      <c r="K22" s="4">
        <v>49185</v>
      </c>
      <c r="L22" s="26">
        <v>0.18381400000000001</v>
      </c>
      <c r="M22" s="8"/>
      <c r="N22" s="37" t="s">
        <v>19</v>
      </c>
      <c r="O22" s="38">
        <f>SUM(K9:K32)</f>
        <v>396128.285714</v>
      </c>
    </row>
    <row r="23" spans="1:15">
      <c r="A23" s="4">
        <v>14</v>
      </c>
      <c r="B23" s="4">
        <v>56244</v>
      </c>
      <c r="C23" s="4">
        <v>57130</v>
      </c>
      <c r="D23" s="26">
        <v>1.5753E-2</v>
      </c>
      <c r="E23" s="8"/>
      <c r="F23" s="37"/>
      <c r="G23" s="38"/>
      <c r="I23" s="4">
        <v>14</v>
      </c>
      <c r="J23" s="4">
        <v>56244</v>
      </c>
      <c r="K23" s="4">
        <v>57130</v>
      </c>
      <c r="L23" s="26">
        <v>1.5753E-2</v>
      </c>
      <c r="M23" s="8"/>
      <c r="N23" s="37"/>
      <c r="O23" s="38"/>
    </row>
    <row r="24" spans="1:15">
      <c r="A24" s="4">
        <v>15</v>
      </c>
      <c r="B24" s="4">
        <v>37008</v>
      </c>
      <c r="C24" s="4">
        <v>49424</v>
      </c>
      <c r="D24" s="26">
        <v>0.33549499999999999</v>
      </c>
      <c r="E24" s="8"/>
      <c r="F24" s="8"/>
      <c r="G24" s="12"/>
      <c r="I24" s="4">
        <v>15</v>
      </c>
      <c r="J24" s="4">
        <v>37008</v>
      </c>
      <c r="K24" s="4">
        <v>49424</v>
      </c>
      <c r="L24" s="26">
        <v>0.33549499999999999</v>
      </c>
      <c r="M24" s="8"/>
      <c r="N24" s="8"/>
      <c r="O24" s="12"/>
    </row>
    <row r="25" spans="1:15">
      <c r="A25" s="4">
        <v>16</v>
      </c>
      <c r="B25" s="4">
        <v>19158</v>
      </c>
      <c r="C25" s="4">
        <v>21582</v>
      </c>
      <c r="D25" s="26">
        <v>0.126527</v>
      </c>
      <c r="E25" s="8"/>
      <c r="F25" s="8"/>
      <c r="G25" s="12"/>
      <c r="I25" s="4">
        <v>16</v>
      </c>
      <c r="J25" s="4">
        <v>19158</v>
      </c>
      <c r="K25" s="4">
        <v>21582</v>
      </c>
      <c r="L25" s="26">
        <v>0.126527</v>
      </c>
      <c r="M25" s="8"/>
      <c r="N25" s="8"/>
      <c r="O25" s="12"/>
    </row>
    <row r="26" spans="1:15">
      <c r="A26" s="4">
        <v>17</v>
      </c>
      <c r="B26" s="4">
        <v>783</v>
      </c>
      <c r="C26" s="4">
        <v>8385</v>
      </c>
      <c r="D26" s="26">
        <v>9.708812</v>
      </c>
      <c r="E26" s="8"/>
      <c r="F26" s="8"/>
      <c r="G26" s="12"/>
      <c r="I26" s="4">
        <v>17</v>
      </c>
      <c r="J26" s="4">
        <v>783</v>
      </c>
      <c r="K26" s="4">
        <v>8385</v>
      </c>
      <c r="L26" s="26">
        <v>9.708812</v>
      </c>
      <c r="M26" s="8"/>
      <c r="N26" s="8"/>
      <c r="O26" s="12"/>
    </row>
    <row r="27" spans="1:15">
      <c r="A27" s="4">
        <v>18</v>
      </c>
      <c r="B27" s="4">
        <v>19</v>
      </c>
      <c r="C27" s="4">
        <v>0</v>
      </c>
      <c r="D27" s="4">
        <v>1</v>
      </c>
      <c r="E27" s="8"/>
      <c r="F27" s="8"/>
      <c r="G27" s="12"/>
      <c r="I27" s="4">
        <v>18</v>
      </c>
      <c r="J27" s="4">
        <v>19</v>
      </c>
      <c r="K27" s="4">
        <v>0</v>
      </c>
      <c r="L27" s="4"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0.207430670783745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2.256071458333333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4.512142916666666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0.65207033333333342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0.54778166666666672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6.8985333333333329E-2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423</v>
      </c>
      <c r="C44" s="4">
        <v>0</v>
      </c>
      <c r="D44" s="26">
        <v>1</v>
      </c>
      <c r="E44" s="8"/>
      <c r="F44" s="15" t="s">
        <v>3</v>
      </c>
      <c r="G44" s="24">
        <f>AVERAGE(D52:D54)</f>
        <v>3.3085563333333337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36431</v>
      </c>
      <c r="C45" s="4">
        <v>1595.2857140000001</v>
      </c>
      <c r="D45" s="26">
        <v>0.95621100000000003</v>
      </c>
      <c r="E45" s="8"/>
      <c r="F45" s="15" t="s">
        <v>4</v>
      </c>
      <c r="G45" s="24">
        <f>AVERAGE(D55:D57)</f>
        <v>13.471178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52114</v>
      </c>
      <c r="C46" s="4">
        <v>3217</v>
      </c>
      <c r="D46" s="26">
        <v>0.93827000000000005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91738</v>
      </c>
      <c r="C47" s="4">
        <v>50898</v>
      </c>
      <c r="D47" s="26">
        <v>0.44518099999999999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75400</v>
      </c>
      <c r="C48" s="4">
        <v>94996</v>
      </c>
      <c r="D48" s="26">
        <v>0.25989400000000001</v>
      </c>
      <c r="E48" s="8"/>
      <c r="F48" s="37" t="s">
        <v>18</v>
      </c>
      <c r="G48" s="38">
        <f>SUM(B37:B60)</f>
        <v>488858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59278</v>
      </c>
      <c r="C49" s="4">
        <v>59716</v>
      </c>
      <c r="D49" s="26">
        <v>7.3889999999999997E-3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60262</v>
      </c>
      <c r="C50" s="4">
        <v>49185</v>
      </c>
      <c r="D50" s="26">
        <v>0.18381400000000001</v>
      </c>
      <c r="E50" s="8"/>
      <c r="F50" s="37" t="s">
        <v>19</v>
      </c>
      <c r="G50" s="38">
        <f>SUM(C37:C60)</f>
        <v>387453.85714199999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56244</v>
      </c>
      <c r="C51" s="4">
        <v>57130</v>
      </c>
      <c r="D51" s="26">
        <v>1.5753E-2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37008</v>
      </c>
      <c r="C52" s="4">
        <v>49424</v>
      </c>
      <c r="D52" s="26">
        <v>0.33549499999999999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19158</v>
      </c>
      <c r="C53" s="4">
        <v>12486.285714</v>
      </c>
      <c r="D53" s="26">
        <v>0.34824699999999997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783</v>
      </c>
      <c r="C54" s="4">
        <v>8019.4285710000004</v>
      </c>
      <c r="D54" s="26">
        <v>9.2419270000000004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19</v>
      </c>
      <c r="C55" s="4">
        <v>786.85714299999995</v>
      </c>
      <c r="D55" s="4">
        <v>40.413533999999999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55</xdr:row>
                    <xdr:rowOff>165100</xdr:rowOff>
                  </from>
                  <to>
                    <xdr:col>17</xdr:col>
                    <xdr:colOff>114300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57</xdr:row>
                    <xdr:rowOff>165100</xdr:rowOff>
                  </from>
                  <to>
                    <xdr:col>17</xdr:col>
                    <xdr:colOff>114300</xdr:colOff>
                    <xdr:row>58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1228-78BE-F84F-8153-975FDCCC4A04}">
  <sheetPr codeName="Sheet18">
    <pageSetUpPr fitToPage="1"/>
  </sheetPr>
  <dimension ref="A1:W60"/>
  <sheetViews>
    <sheetView zoomScale="79" workbookViewId="0">
      <selection activeCell="Q31" sqref="Q31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39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3.5218635172841295E-2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2.0260993612001954E-2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0.14018127921318191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0.11507368850675087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0.28036255842636382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0.23014737701350174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0.21413596167547966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5.2062914047923736E-2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0.17688700594865139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0.13809932792475887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4.2269159814343947E-2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4.2269159814343947E-2</v>
      </c>
    </row>
    <row r="16" spans="1:23">
      <c r="A16" s="4">
        <v>7</v>
      </c>
      <c r="B16" s="4">
        <v>11636</v>
      </c>
      <c r="C16" s="4">
        <v>10694</v>
      </c>
      <c r="D16" s="26">
        <f t="shared" ref="D16:D27" si="0">ABS(C16/B16-1)</f>
        <v>8.0955654864214521E-2</v>
      </c>
      <c r="E16" s="8"/>
      <c r="F16" s="15" t="s">
        <v>3</v>
      </c>
      <c r="G16" s="24">
        <f>AVERAGE(D24:D26)</f>
        <v>0.35482477293364706</v>
      </c>
      <c r="I16" s="4">
        <v>7</v>
      </c>
      <c r="J16" s="4">
        <v>11636</v>
      </c>
      <c r="K16" s="4">
        <v>9954.7142860000004</v>
      </c>
      <c r="L16" s="26">
        <f t="shared" ref="L16:L27" si="1">ABS(K16/J16-1)</f>
        <v>0.14449000635957365</v>
      </c>
      <c r="M16" s="8"/>
      <c r="N16" s="15" t="s">
        <v>3</v>
      </c>
      <c r="O16" s="24">
        <f>AVERAGE(L24:L26)</f>
        <v>0.35482477293364706</v>
      </c>
    </row>
    <row r="17" spans="1:15">
      <c r="A17" s="4">
        <v>8</v>
      </c>
      <c r="B17" s="4">
        <v>59054</v>
      </c>
      <c r="C17" s="4">
        <v>25898</v>
      </c>
      <c r="D17" s="26">
        <f t="shared" si="0"/>
        <v>0.56145223016222445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59054</v>
      </c>
      <c r="K17" s="4">
        <v>59744.857143000001</v>
      </c>
      <c r="L17" s="26">
        <f t="shared" si="1"/>
        <v>1.1698735784197556E-2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106951</v>
      </c>
      <c r="C18" s="4">
        <v>81626</v>
      </c>
      <c r="D18" s="26">
        <f t="shared" si="0"/>
        <v>0.23679067984404067</v>
      </c>
      <c r="E18" s="8"/>
      <c r="F18" s="8"/>
      <c r="G18" s="12"/>
      <c r="I18" s="4">
        <v>9</v>
      </c>
      <c r="J18" s="4">
        <v>106951</v>
      </c>
      <c r="K18" s="4">
        <v>94071.142856999999</v>
      </c>
      <c r="L18" s="26">
        <f t="shared" si="1"/>
        <v>0.12042764577236309</v>
      </c>
      <c r="M18" s="8"/>
      <c r="N18" s="8"/>
      <c r="O18" s="12"/>
    </row>
    <row r="19" spans="1:15">
      <c r="A19" s="4">
        <v>10</v>
      </c>
      <c r="B19" s="4">
        <v>101799</v>
      </c>
      <c r="C19" s="4">
        <v>119138</v>
      </c>
      <c r="D19" s="26">
        <f t="shared" si="0"/>
        <v>0.17032583817129843</v>
      </c>
      <c r="E19" s="8"/>
      <c r="F19" s="8"/>
      <c r="G19" s="12"/>
      <c r="I19" s="4">
        <v>10</v>
      </c>
      <c r="J19" s="4">
        <v>101799</v>
      </c>
      <c r="K19" s="4">
        <v>119138</v>
      </c>
      <c r="L19" s="26">
        <f t="shared" si="1"/>
        <v>0.17032583817129843</v>
      </c>
      <c r="M19" s="8"/>
      <c r="N19" s="8"/>
      <c r="O19" s="12"/>
    </row>
    <row r="20" spans="1:15" ht="16" customHeight="1">
      <c r="A20" s="4">
        <v>11</v>
      </c>
      <c r="B20" s="4">
        <v>103315</v>
      </c>
      <c r="C20" s="4">
        <v>90551</v>
      </c>
      <c r="D20" s="26">
        <f t="shared" si="0"/>
        <v>0.12354449983061511</v>
      </c>
      <c r="E20" s="8"/>
      <c r="F20" s="37" t="s">
        <v>18</v>
      </c>
      <c r="G20" s="38">
        <f>SUM(B9:B32)</f>
        <v>821071</v>
      </c>
      <c r="I20" s="4">
        <v>11</v>
      </c>
      <c r="J20" s="4">
        <v>103315</v>
      </c>
      <c r="K20" s="4">
        <v>90551</v>
      </c>
      <c r="L20" s="26">
        <f t="shared" si="1"/>
        <v>0.12354449983061511</v>
      </c>
      <c r="M20" s="8"/>
      <c r="N20" s="37" t="s">
        <v>18</v>
      </c>
      <c r="O20" s="38">
        <f>SUM(J9:J32)</f>
        <v>821071</v>
      </c>
    </row>
    <row r="21" spans="1:15">
      <c r="A21" s="4">
        <v>12</v>
      </c>
      <c r="B21" s="4">
        <v>99444</v>
      </c>
      <c r="C21" s="4">
        <v>101279</v>
      </c>
      <c r="D21" s="26">
        <f t="shared" si="0"/>
        <v>1.8452596436185242E-2</v>
      </c>
      <c r="E21" s="8"/>
      <c r="F21" s="37"/>
      <c r="G21" s="38"/>
      <c r="I21" s="4">
        <v>12</v>
      </c>
      <c r="J21" s="4">
        <v>99444</v>
      </c>
      <c r="K21" s="4">
        <v>101279</v>
      </c>
      <c r="L21" s="26">
        <f t="shared" si="1"/>
        <v>1.8452596436185242E-2</v>
      </c>
      <c r="M21" s="8"/>
      <c r="N21" s="37"/>
      <c r="O21" s="38"/>
    </row>
    <row r="22" spans="1:15" ht="16" customHeight="1">
      <c r="A22" s="4">
        <v>13</v>
      </c>
      <c r="B22" s="4">
        <v>96705</v>
      </c>
      <c r="C22" s="4">
        <v>94045</v>
      </c>
      <c r="D22" s="26">
        <f t="shared" si="0"/>
        <v>2.7506333695258789E-2</v>
      </c>
      <c r="E22" s="8"/>
      <c r="F22" s="37" t="s">
        <v>19</v>
      </c>
      <c r="G22" s="38">
        <f>SUM(C9:C32)</f>
        <v>792154</v>
      </c>
      <c r="I22" s="4">
        <v>13</v>
      </c>
      <c r="J22" s="4">
        <v>96705</v>
      </c>
      <c r="K22" s="4">
        <v>94045</v>
      </c>
      <c r="L22" s="26">
        <f t="shared" si="1"/>
        <v>2.7506333695258789E-2</v>
      </c>
      <c r="M22" s="8"/>
      <c r="N22" s="37" t="s">
        <v>19</v>
      </c>
      <c r="O22" s="38">
        <f>SUM(K9:K32)</f>
        <v>837706.714286</v>
      </c>
    </row>
    <row r="23" spans="1:15">
      <c r="A23" s="4">
        <v>14</v>
      </c>
      <c r="B23" s="4">
        <v>84615</v>
      </c>
      <c r="C23" s="4">
        <v>91456</v>
      </c>
      <c r="D23" s="26">
        <f t="shared" si="0"/>
        <v>8.0848549311587803E-2</v>
      </c>
      <c r="E23" s="8"/>
      <c r="F23" s="37"/>
      <c r="G23" s="38"/>
      <c r="I23" s="4">
        <v>14</v>
      </c>
      <c r="J23" s="4">
        <v>84615</v>
      </c>
      <c r="K23" s="4">
        <v>91456</v>
      </c>
      <c r="L23" s="26">
        <f t="shared" si="1"/>
        <v>8.0848549311587803E-2</v>
      </c>
      <c r="M23" s="8"/>
      <c r="N23" s="37"/>
      <c r="O23" s="38"/>
    </row>
    <row r="24" spans="1:15">
      <c r="A24" s="4">
        <v>15</v>
      </c>
      <c r="B24" s="4">
        <v>78593</v>
      </c>
      <c r="C24" s="4">
        <v>75771</v>
      </c>
      <c r="D24" s="26">
        <f t="shared" si="0"/>
        <v>3.5906505668443778E-2</v>
      </c>
      <c r="E24" s="8"/>
      <c r="F24" s="8"/>
      <c r="G24" s="12"/>
      <c r="I24" s="4">
        <v>15</v>
      </c>
      <c r="J24" s="4">
        <v>78593</v>
      </c>
      <c r="K24" s="4">
        <v>75771</v>
      </c>
      <c r="L24" s="26">
        <f t="shared" si="1"/>
        <v>3.5906505668443778E-2</v>
      </c>
      <c r="M24" s="8"/>
      <c r="N24" s="8"/>
      <c r="O24" s="12"/>
    </row>
    <row r="25" spans="1:15">
      <c r="A25" s="4">
        <v>16</v>
      </c>
      <c r="B25" s="4">
        <v>57693</v>
      </c>
      <c r="C25" s="4">
        <v>66794</v>
      </c>
      <c r="D25" s="26">
        <f t="shared" si="0"/>
        <v>0.15774877368138251</v>
      </c>
      <c r="E25" s="8"/>
      <c r="F25" s="8"/>
      <c r="G25" s="12"/>
      <c r="I25" s="4">
        <v>16</v>
      </c>
      <c r="J25" s="4">
        <v>57693</v>
      </c>
      <c r="K25" s="4">
        <v>66794</v>
      </c>
      <c r="L25" s="26">
        <f t="shared" si="1"/>
        <v>0.15774877368138251</v>
      </c>
      <c r="M25" s="8"/>
      <c r="N25" s="8"/>
      <c r="O25" s="12"/>
    </row>
    <row r="26" spans="1:15">
      <c r="A26" s="4">
        <v>17</v>
      </c>
      <c r="B26" s="4">
        <v>18656</v>
      </c>
      <c r="C26" s="4">
        <v>34902</v>
      </c>
      <c r="D26" s="26">
        <f t="shared" si="0"/>
        <v>0.87081903945111483</v>
      </c>
      <c r="E26" s="8"/>
      <c r="F26" s="8"/>
      <c r="G26" s="12"/>
      <c r="I26" s="4">
        <v>17</v>
      </c>
      <c r="J26" s="4">
        <v>18656</v>
      </c>
      <c r="K26" s="4">
        <v>34902</v>
      </c>
      <c r="L26" s="26">
        <f t="shared" si="1"/>
        <v>0.87081903945111483</v>
      </c>
      <c r="M26" s="8"/>
      <c r="N26" s="8"/>
      <c r="O26" s="12"/>
    </row>
    <row r="27" spans="1:15">
      <c r="A27" s="4">
        <v>18</v>
      </c>
      <c r="B27" s="4">
        <v>2610</v>
      </c>
      <c r="C27" s="4">
        <v>0</v>
      </c>
      <c r="D27" s="26">
        <f t="shared" si="0"/>
        <v>1</v>
      </c>
      <c r="E27" s="8"/>
      <c r="F27" s="8"/>
      <c r="G27" s="12"/>
      <c r="I27" s="4">
        <v>18</v>
      </c>
      <c r="J27" s="4">
        <v>2610</v>
      </c>
      <c r="K27" s="4">
        <v>0</v>
      </c>
      <c r="L27" s="26">
        <f t="shared" si="1"/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3"/>
      <c r="B36" s="23" t="s">
        <v>10</v>
      </c>
      <c r="C36" s="23" t="s">
        <v>11</v>
      </c>
      <c r="D36" s="23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4.8934692789052381E-2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0.14097122084952243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0.28194244169904487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5.2062914047923736E-2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0.13809932792475887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4.2269159814343947E-2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11636</v>
      </c>
      <c r="C44" s="4">
        <v>9954.7142860000004</v>
      </c>
      <c r="D44" s="26">
        <f t="shared" ref="D44:D55" si="2">ABS(C44/B44-1)</f>
        <v>0.14449000635957365</v>
      </c>
      <c r="E44" s="8"/>
      <c r="F44" s="15" t="s">
        <v>3</v>
      </c>
      <c r="G44" s="24">
        <f>AVERAGE(D52:D54)</f>
        <v>0.46317270179076225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59054</v>
      </c>
      <c r="C45" s="4">
        <v>59744.857143000001</v>
      </c>
      <c r="D45" s="26">
        <f t="shared" si="2"/>
        <v>1.1698735784197556E-2</v>
      </c>
      <c r="E45" s="8"/>
      <c r="F45" s="15" t="s">
        <v>4</v>
      </c>
      <c r="G45" s="24">
        <f>AVERAGE(D55:D57)</f>
        <v>0.43216566321839078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106951</v>
      </c>
      <c r="C46" s="4">
        <v>94071.142856999999</v>
      </c>
      <c r="D46" s="26">
        <f t="shared" si="2"/>
        <v>0.12042764577236309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101799</v>
      </c>
      <c r="C47" s="4">
        <v>119138</v>
      </c>
      <c r="D47" s="26">
        <f t="shared" si="2"/>
        <v>0.17032583817129843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103315</v>
      </c>
      <c r="C48" s="4">
        <v>90551</v>
      </c>
      <c r="D48" s="26">
        <f t="shared" si="2"/>
        <v>0.12354449983061511</v>
      </c>
      <c r="E48" s="8"/>
      <c r="F48" s="37" t="s">
        <v>18</v>
      </c>
      <c r="G48" s="38">
        <f>SUM(B37:B60)</f>
        <v>821071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99444</v>
      </c>
      <c r="C49" s="4">
        <v>101279</v>
      </c>
      <c r="D49" s="26">
        <f t="shared" si="2"/>
        <v>1.8452596436185242E-2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96705</v>
      </c>
      <c r="C50" s="4">
        <v>94045</v>
      </c>
      <c r="D50" s="26">
        <f t="shared" si="2"/>
        <v>2.7506333695258789E-2</v>
      </c>
      <c r="E50" s="8"/>
      <c r="F50" s="37" t="s">
        <v>19</v>
      </c>
      <c r="G50" s="38">
        <f>SUM(C37:C60)</f>
        <v>861249.857143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84615</v>
      </c>
      <c r="C51" s="4">
        <v>91456</v>
      </c>
      <c r="D51" s="26">
        <f t="shared" si="2"/>
        <v>8.0848549311587803E-2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78593</v>
      </c>
      <c r="C52" s="4">
        <v>75771</v>
      </c>
      <c r="D52" s="26">
        <f t="shared" si="2"/>
        <v>3.5906505668443778E-2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57693</v>
      </c>
      <c r="C53" s="4">
        <v>83768.142856999999</v>
      </c>
      <c r="D53" s="26">
        <f t="shared" si="2"/>
        <v>0.4519637192900352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18656</v>
      </c>
      <c r="C54" s="4">
        <v>35477.142856999999</v>
      </c>
      <c r="D54" s="26">
        <f t="shared" si="2"/>
        <v>0.90164788041380772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2610</v>
      </c>
      <c r="C55" s="4">
        <v>5993.8571430000002</v>
      </c>
      <c r="D55" s="26">
        <f t="shared" si="2"/>
        <v>1.2964969896551723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25400</xdr:colOff>
                    <xdr:row>55</xdr:row>
                    <xdr:rowOff>165100</xdr:rowOff>
                  </from>
                  <to>
                    <xdr:col>17</xdr:col>
                    <xdr:colOff>114300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57</xdr:row>
                    <xdr:rowOff>165100</xdr:rowOff>
                  </from>
                  <to>
                    <xdr:col>17</xdr:col>
                    <xdr:colOff>114300</xdr:colOff>
                    <xdr:row>58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C2ACC-5D95-5E4E-A61E-5D819598AB89}">
  <sheetPr codeName="Sheet19">
    <pageSetUpPr fitToPage="1"/>
  </sheetPr>
  <dimension ref="A1:W60"/>
  <sheetViews>
    <sheetView zoomScale="72" workbookViewId="0">
      <selection activeCell="Q29" sqref="Q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40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/>
      <c r="B8" s="22" t="s">
        <v>10</v>
      </c>
      <c r="C8" s="22" t="s">
        <v>11</v>
      </c>
      <c r="D8" s="22" t="s">
        <v>12</v>
      </c>
      <c r="E8" s="8"/>
      <c r="F8" s="34" t="s">
        <v>14</v>
      </c>
      <c r="G8" s="36"/>
      <c r="I8" s="22"/>
      <c r="J8" s="22" t="s">
        <v>10</v>
      </c>
      <c r="K8" s="22" t="s">
        <v>11</v>
      </c>
      <c r="L8" s="22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2.1587551334822486E-2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1.0718851406468777E-2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0.16149012500000001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0.15123033333333333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0.32298025000000002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0.30246066666666666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0.25499833333333333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0.15288399999999999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5.0122333333333345E-2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7.0158333333333336E-2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8.1672333333333333E-2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8.1672333333333333E-2</v>
      </c>
    </row>
    <row r="16" spans="1:23">
      <c r="A16" s="4">
        <v>7</v>
      </c>
      <c r="B16" s="4">
        <v>3573</v>
      </c>
      <c r="C16" s="4">
        <v>2527</v>
      </c>
      <c r="D16" s="29">
        <v>0.29275099999999998</v>
      </c>
      <c r="E16" s="8"/>
      <c r="F16" s="15" t="s">
        <v>3</v>
      </c>
      <c r="G16" s="24">
        <f>AVERAGE(D24:D26)</f>
        <v>0.57179466666666656</v>
      </c>
      <c r="I16" s="4">
        <v>7</v>
      </c>
      <c r="J16" s="4">
        <v>3573</v>
      </c>
      <c r="K16" s="4">
        <v>2782.7142859999999</v>
      </c>
      <c r="L16" s="29">
        <v>0.22118299999999999</v>
      </c>
      <c r="M16" s="8"/>
      <c r="N16" s="15" t="s">
        <v>3</v>
      </c>
      <c r="O16" s="24">
        <f>AVERAGE(L24:L26)</f>
        <v>0.57179466666666656</v>
      </c>
    </row>
    <row r="17" spans="1:15">
      <c r="A17" s="4">
        <v>8</v>
      </c>
      <c r="B17" s="4">
        <v>15060</v>
      </c>
      <c r="C17" s="4">
        <v>7948</v>
      </c>
      <c r="D17" s="29">
        <v>0.472244</v>
      </c>
      <c r="E17" s="8"/>
      <c r="F17" s="15" t="s">
        <v>4</v>
      </c>
      <c r="G17" s="24">
        <f>AVERAGE(D27:D29)</f>
        <v>0.33333333333333331</v>
      </c>
      <c r="I17" s="4">
        <v>8</v>
      </c>
      <c r="J17" s="4">
        <v>15060</v>
      </c>
      <c r="K17" s="4">
        <v>11483.714286</v>
      </c>
      <c r="L17" s="29">
        <v>0.23746900000000001</v>
      </c>
      <c r="M17" s="8"/>
      <c r="N17" s="15" t="s">
        <v>4</v>
      </c>
      <c r="O17" s="24">
        <f>AVERAGE(L27:L29)</f>
        <v>0.33333333333333331</v>
      </c>
    </row>
    <row r="18" spans="1:15">
      <c r="A18" s="4">
        <v>9</v>
      </c>
      <c r="B18" s="4">
        <v>24463</v>
      </c>
      <c r="C18" s="4">
        <v>20952</v>
      </c>
      <c r="D18" s="29">
        <v>0.14352300000000001</v>
      </c>
      <c r="E18" s="8"/>
      <c r="F18" s="8"/>
      <c r="G18" s="12"/>
      <c r="I18" s="4">
        <v>9</v>
      </c>
      <c r="J18" s="4">
        <v>24463</v>
      </c>
      <c r="K18" s="4">
        <v>19481.571429</v>
      </c>
      <c r="L18" s="29">
        <v>0.20363100000000001</v>
      </c>
      <c r="M18" s="8"/>
      <c r="N18" s="8"/>
      <c r="O18" s="12"/>
    </row>
    <row r="19" spans="1:15">
      <c r="A19" s="4">
        <v>10</v>
      </c>
      <c r="B19" s="4">
        <v>27349</v>
      </c>
      <c r="C19" s="4">
        <v>27428</v>
      </c>
      <c r="D19" s="29">
        <v>2.8890000000000001E-3</v>
      </c>
      <c r="E19" s="8"/>
      <c r="F19" s="8"/>
      <c r="G19" s="12"/>
      <c r="I19" s="4">
        <v>10</v>
      </c>
      <c r="J19" s="4">
        <v>27349</v>
      </c>
      <c r="K19" s="4">
        <v>27428</v>
      </c>
      <c r="L19" s="29">
        <v>2.8890000000000001E-3</v>
      </c>
      <c r="M19" s="8"/>
      <c r="N19" s="8"/>
      <c r="O19" s="12"/>
    </row>
    <row r="20" spans="1:15" ht="16" customHeight="1">
      <c r="A20" s="4">
        <v>11</v>
      </c>
      <c r="B20" s="4">
        <v>27057</v>
      </c>
      <c r="C20" s="4">
        <v>26950</v>
      </c>
      <c r="D20" s="29">
        <v>3.9550000000000002E-3</v>
      </c>
      <c r="E20" s="8"/>
      <c r="F20" s="37" t="s">
        <v>18</v>
      </c>
      <c r="G20" s="38">
        <f>SUM(B9:B32)</f>
        <v>213549</v>
      </c>
      <c r="I20" s="4">
        <v>11</v>
      </c>
      <c r="J20" s="4">
        <v>27057</v>
      </c>
      <c r="K20" s="4">
        <v>26950</v>
      </c>
      <c r="L20" s="29">
        <v>3.9550000000000002E-3</v>
      </c>
      <c r="M20" s="8"/>
      <c r="N20" s="37" t="s">
        <v>18</v>
      </c>
      <c r="O20" s="38">
        <f>SUM(J9:J32)</f>
        <v>213549</v>
      </c>
    </row>
    <row r="21" spans="1:15">
      <c r="A21" s="4">
        <v>12</v>
      </c>
      <c r="B21" s="4">
        <v>27367</v>
      </c>
      <c r="C21" s="4">
        <v>25737</v>
      </c>
      <c r="D21" s="29">
        <v>5.9561000000000003E-2</v>
      </c>
      <c r="E21" s="8"/>
      <c r="F21" s="37"/>
      <c r="G21" s="38"/>
      <c r="I21" s="4">
        <v>12</v>
      </c>
      <c r="J21" s="4">
        <v>27367</v>
      </c>
      <c r="K21" s="4">
        <v>25737</v>
      </c>
      <c r="L21" s="29">
        <v>5.9561000000000003E-2</v>
      </c>
      <c r="M21" s="8"/>
      <c r="N21" s="37"/>
      <c r="O21" s="38"/>
    </row>
    <row r="22" spans="1:15" ht="16" customHeight="1">
      <c r="A22" s="4">
        <v>13</v>
      </c>
      <c r="B22" s="4">
        <v>24973</v>
      </c>
      <c r="C22" s="4">
        <v>26384</v>
      </c>
      <c r="D22" s="29">
        <v>5.6501000000000003E-2</v>
      </c>
      <c r="E22" s="8"/>
      <c r="F22" s="37" t="s">
        <v>19</v>
      </c>
      <c r="G22" s="38">
        <f>SUM(C9:C32)</f>
        <v>208939</v>
      </c>
      <c r="I22" s="4">
        <v>13</v>
      </c>
      <c r="J22" s="4">
        <v>24973</v>
      </c>
      <c r="K22" s="4">
        <v>26384</v>
      </c>
      <c r="L22" s="29">
        <v>5.6501000000000003E-2</v>
      </c>
      <c r="M22" s="8"/>
      <c r="N22" s="37" t="s">
        <v>19</v>
      </c>
      <c r="O22" s="38">
        <f>SUM(K9:K32)</f>
        <v>211260.00000100001</v>
      </c>
    </row>
    <row r="23" spans="1:15">
      <c r="A23" s="4">
        <v>14</v>
      </c>
      <c r="B23" s="4">
        <v>26265</v>
      </c>
      <c r="C23" s="4">
        <v>22878</v>
      </c>
      <c r="D23" s="29">
        <v>0.12895499999999999</v>
      </c>
      <c r="E23" s="8"/>
      <c r="F23" s="37"/>
      <c r="G23" s="38"/>
      <c r="I23" s="4">
        <v>14</v>
      </c>
      <c r="J23" s="4">
        <v>26265</v>
      </c>
      <c r="K23" s="4">
        <v>22878</v>
      </c>
      <c r="L23" s="29">
        <v>0.12895499999999999</v>
      </c>
      <c r="M23" s="8"/>
      <c r="N23" s="37"/>
      <c r="O23" s="38"/>
    </row>
    <row r="24" spans="1:15">
      <c r="A24" s="4">
        <v>15</v>
      </c>
      <c r="B24" s="4">
        <v>21337</v>
      </c>
      <c r="C24" s="4">
        <v>24867</v>
      </c>
      <c r="D24" s="29">
        <v>0.16544</v>
      </c>
      <c r="E24" s="8"/>
      <c r="F24" s="8"/>
      <c r="G24" s="12"/>
      <c r="I24" s="4">
        <v>15</v>
      </c>
      <c r="J24" s="4">
        <v>21337</v>
      </c>
      <c r="K24" s="4">
        <v>24867</v>
      </c>
      <c r="L24" s="29">
        <v>0.16544</v>
      </c>
      <c r="M24" s="8"/>
      <c r="N24" s="8"/>
      <c r="O24" s="12"/>
    </row>
    <row r="25" spans="1:15">
      <c r="A25" s="4">
        <v>16</v>
      </c>
      <c r="B25" s="4">
        <v>12647</v>
      </c>
      <c r="C25" s="4">
        <v>16729</v>
      </c>
      <c r="D25" s="29">
        <v>0.322764</v>
      </c>
      <c r="E25" s="8"/>
      <c r="F25" s="8"/>
      <c r="G25" s="12"/>
      <c r="I25" s="4">
        <v>16</v>
      </c>
      <c r="J25" s="4">
        <v>12647</v>
      </c>
      <c r="K25" s="4">
        <v>16729</v>
      </c>
      <c r="L25" s="29">
        <v>0.322764</v>
      </c>
      <c r="M25" s="8"/>
      <c r="N25" s="8"/>
      <c r="O25" s="12"/>
    </row>
    <row r="26" spans="1:15">
      <c r="A26" s="4">
        <v>17</v>
      </c>
      <c r="B26" s="4">
        <v>2936</v>
      </c>
      <c r="C26" s="4">
        <v>6539</v>
      </c>
      <c r="D26" s="29">
        <v>1.2271799999999999</v>
      </c>
      <c r="E26" s="8"/>
      <c r="F26" s="8"/>
      <c r="G26" s="12"/>
      <c r="I26" s="4">
        <v>17</v>
      </c>
      <c r="J26" s="4">
        <v>2936</v>
      </c>
      <c r="K26" s="4">
        <v>6539</v>
      </c>
      <c r="L26" s="29">
        <v>1.2271799999999999</v>
      </c>
      <c r="M26" s="8"/>
      <c r="N26" s="8"/>
      <c r="O26" s="12"/>
    </row>
    <row r="27" spans="1:15">
      <c r="A27" s="4">
        <v>18</v>
      </c>
      <c r="B27" s="4">
        <v>522</v>
      </c>
      <c r="C27" s="4">
        <v>0</v>
      </c>
      <c r="D27" s="29">
        <v>1</v>
      </c>
      <c r="E27" s="8"/>
      <c r="F27" s="8"/>
      <c r="G27" s="12"/>
      <c r="I27" s="4">
        <v>18</v>
      </c>
      <c r="J27" s="4">
        <v>522</v>
      </c>
      <c r="K27" s="4">
        <v>0</v>
      </c>
      <c r="L27" s="29">
        <v>1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2"/>
      <c r="B36" s="22" t="s">
        <v>10</v>
      </c>
      <c r="C36" s="22" t="s">
        <v>11</v>
      </c>
      <c r="D36" s="22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3.6926954876866702E-2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0.37023712500000006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0.74047425000000011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0.15288399999999999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7.0158333333333336E-2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8.1672333333333333E-2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3573</v>
      </c>
      <c r="C44" s="4">
        <v>2782.7142859999999</v>
      </c>
      <c r="D44" s="29">
        <v>0.22118299999999999</v>
      </c>
      <c r="E44" s="8"/>
      <c r="F44" s="15" t="s">
        <v>3</v>
      </c>
      <c r="G44" s="24">
        <f>AVERAGE(D52:D54)</f>
        <v>1.2556133333333335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15060</v>
      </c>
      <c r="C45" s="4">
        <v>11483.714286</v>
      </c>
      <c r="D45" s="29">
        <v>0.23746900000000001</v>
      </c>
      <c r="E45" s="8"/>
      <c r="F45" s="15" t="s">
        <v>4</v>
      </c>
      <c r="G45" s="24">
        <f>AVERAGE(D55:D57)</f>
        <v>1.4015690000000001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24463</v>
      </c>
      <c r="C46" s="4">
        <v>19481.571429</v>
      </c>
      <c r="D46" s="29">
        <v>0.20363100000000001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27349</v>
      </c>
      <c r="C47" s="4">
        <v>27428</v>
      </c>
      <c r="D47" s="29">
        <v>2.8890000000000001E-3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27057</v>
      </c>
      <c r="C48" s="4">
        <v>26950</v>
      </c>
      <c r="D48" s="29">
        <v>3.9550000000000002E-3</v>
      </c>
      <c r="E48" s="8"/>
      <c r="F48" s="37" t="s">
        <v>18</v>
      </c>
      <c r="G48" s="38">
        <f>SUM(B37:B60)</f>
        <v>213549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27367</v>
      </c>
      <c r="C49" s="4">
        <v>25737</v>
      </c>
      <c r="D49" s="29">
        <v>5.9561000000000003E-2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24973</v>
      </c>
      <c r="C50" s="4">
        <v>26384</v>
      </c>
      <c r="D50" s="29">
        <v>5.6501000000000003E-2</v>
      </c>
      <c r="E50" s="8"/>
      <c r="F50" s="37" t="s">
        <v>19</v>
      </c>
      <c r="G50" s="38">
        <f>SUM(C37:C60)</f>
        <v>221434.71428700001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26265</v>
      </c>
      <c r="C51" s="4">
        <v>22878</v>
      </c>
      <c r="D51" s="29">
        <v>0.12895499999999999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21337</v>
      </c>
      <c r="C52" s="4">
        <v>24867</v>
      </c>
      <c r="D52" s="29">
        <v>0.16544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12647</v>
      </c>
      <c r="C53" s="4">
        <v>18597.571429</v>
      </c>
      <c r="D53" s="29">
        <v>0.47051199999999999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2936</v>
      </c>
      <c r="C54" s="4">
        <v>12128.285714</v>
      </c>
      <c r="D54" s="29">
        <v>3.1308880000000001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522</v>
      </c>
      <c r="C55" s="4">
        <v>2716.8571430000002</v>
      </c>
      <c r="D55" s="29">
        <v>4.204707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63500</xdr:colOff>
                    <xdr:row>56</xdr:row>
                    <xdr:rowOff>114300</xdr:rowOff>
                  </from>
                  <to>
                    <xdr:col>17</xdr:col>
                    <xdr:colOff>139700</xdr:colOff>
                    <xdr:row>57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50800</xdr:colOff>
                    <xdr:row>58</xdr:row>
                    <xdr:rowOff>101600</xdr:rowOff>
                  </from>
                  <to>
                    <xdr:col>17</xdr:col>
                    <xdr:colOff>139700</xdr:colOff>
                    <xdr:row>59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5513E-5661-E74D-BEC9-647F112EB563}">
  <sheetPr codeName="Sheet20">
    <tabColor theme="7"/>
    <pageSetUpPr fitToPage="1"/>
  </sheetPr>
  <dimension ref="A1:W60"/>
  <sheetViews>
    <sheetView topLeftCell="C1" zoomScale="90" workbookViewId="0">
      <selection activeCell="Q29" sqref="Q29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41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0</v>
      </c>
      <c r="I5" s="15" t="str">
        <f>IF(ISBLANK(H5)," ",F3&amp;"("&amp;F5&amp;","&amp;G5&amp;","&amp;H5&amp;")")</f>
        <v>ARIMA(8,1,0)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/>
      <c r="B8" s="22" t="s">
        <v>10</v>
      </c>
      <c r="C8" s="22" t="s">
        <v>11</v>
      </c>
      <c r="D8" s="22" t="s">
        <v>12</v>
      </c>
      <c r="E8" s="8"/>
      <c r="F8" s="34" t="s">
        <v>14</v>
      </c>
      <c r="G8" s="36"/>
      <c r="I8"/>
      <c r="J8" s="22" t="s">
        <v>10</v>
      </c>
      <c r="K8" s="22" t="s">
        <v>11</v>
      </c>
      <c r="L8" s="22" t="s">
        <v>12</v>
      </c>
      <c r="M8" s="8"/>
      <c r="N8" s="34" t="s">
        <v>14</v>
      </c>
      <c r="O8" s="36"/>
    </row>
    <row r="9" spans="1:23">
      <c r="A9" s="4">
        <v>0</v>
      </c>
      <c r="B9" s="4">
        <v>0</v>
      </c>
      <c r="C9" s="4">
        <v>0</v>
      </c>
      <c r="D9" s="4">
        <v>0</v>
      </c>
      <c r="E9" s="8"/>
      <c r="F9" s="15" t="s">
        <v>15</v>
      </c>
      <c r="G9" s="28">
        <f>ABS(G22/G20-1)</f>
        <v>2.6289219084360549E-2</v>
      </c>
      <c r="I9" s="4">
        <v>0</v>
      </c>
      <c r="J9" s="4">
        <v>0</v>
      </c>
      <c r="K9" s="4">
        <v>0</v>
      </c>
      <c r="L9" s="4">
        <v>0</v>
      </c>
      <c r="M9" s="8"/>
      <c r="N9" s="15" t="s">
        <v>15</v>
      </c>
      <c r="O9" s="28">
        <f>ABS(O22/O20-1)</f>
        <v>3.5614896972984145E-3</v>
      </c>
    </row>
    <row r="10" spans="1:23">
      <c r="A10" s="4">
        <v>1</v>
      </c>
      <c r="B10" s="4">
        <v>0</v>
      </c>
      <c r="C10" s="4">
        <v>0</v>
      </c>
      <c r="D10" s="4">
        <v>0</v>
      </c>
      <c r="E10" s="8"/>
      <c r="F10" s="15" t="s">
        <v>16</v>
      </c>
      <c r="G10" s="24">
        <f>AVERAGE(D9:D32)</f>
        <v>0.26045154166666667</v>
      </c>
      <c r="I10" s="4">
        <v>1</v>
      </c>
      <c r="J10" s="4">
        <v>0</v>
      </c>
      <c r="K10" s="4">
        <v>0</v>
      </c>
      <c r="L10" s="4">
        <v>0</v>
      </c>
      <c r="M10" s="8"/>
      <c r="N10" s="15" t="s">
        <v>16</v>
      </c>
      <c r="O10" s="24">
        <f>AVERAGE(L9:L32)</f>
        <v>0.21604866666666669</v>
      </c>
    </row>
    <row r="11" spans="1:23">
      <c r="A11" s="4">
        <v>2</v>
      </c>
      <c r="B11" s="4">
        <v>0</v>
      </c>
      <c r="C11" s="4">
        <v>0</v>
      </c>
      <c r="D11" s="4">
        <v>0</v>
      </c>
      <c r="E11" s="8"/>
      <c r="F11" s="15" t="s">
        <v>17</v>
      </c>
      <c r="G11" s="24">
        <f>AVERAGE(D16:D27)</f>
        <v>0.52090308333333335</v>
      </c>
      <c r="I11" s="4">
        <v>2</v>
      </c>
      <c r="J11" s="4">
        <v>0</v>
      </c>
      <c r="K11" s="4">
        <v>0</v>
      </c>
      <c r="L11" s="4">
        <v>0</v>
      </c>
      <c r="M11" s="8"/>
      <c r="N11" s="15" t="s">
        <v>17</v>
      </c>
      <c r="O11" s="24">
        <f>AVERAGE(L16:L27)</f>
        <v>0.43209733333333339</v>
      </c>
    </row>
    <row r="12" spans="1:23">
      <c r="A12" s="4">
        <v>3</v>
      </c>
      <c r="B12" s="4">
        <v>0</v>
      </c>
      <c r="C12" s="4">
        <v>0</v>
      </c>
      <c r="D12" s="4">
        <v>0</v>
      </c>
      <c r="E12" s="8"/>
      <c r="F12" s="10"/>
      <c r="G12" s="25"/>
      <c r="I12" s="4">
        <v>3</v>
      </c>
      <c r="J12" s="4">
        <v>0</v>
      </c>
      <c r="K12" s="4">
        <v>0</v>
      </c>
      <c r="L12" s="4">
        <v>0</v>
      </c>
      <c r="M12" s="8"/>
      <c r="N12" s="10"/>
      <c r="O12" s="25"/>
    </row>
    <row r="13" spans="1:23">
      <c r="A13" s="4">
        <v>4</v>
      </c>
      <c r="B13" s="4">
        <v>0</v>
      </c>
      <c r="C13" s="4">
        <v>0</v>
      </c>
      <c r="D13" s="4">
        <v>0</v>
      </c>
      <c r="E13" s="8"/>
      <c r="F13" s="11" t="s">
        <v>0</v>
      </c>
      <c r="G13" s="24">
        <f>AVERAGE(D15:D17)</f>
        <v>0.54755633333333342</v>
      </c>
      <c r="I13" s="4">
        <v>4</v>
      </c>
      <c r="J13" s="4">
        <v>0</v>
      </c>
      <c r="K13" s="4">
        <v>0</v>
      </c>
      <c r="L13" s="4">
        <v>0</v>
      </c>
      <c r="M13" s="8"/>
      <c r="N13" s="11" t="s">
        <v>0</v>
      </c>
      <c r="O13" s="24">
        <f>AVERAGE(L15:L17)</f>
        <v>0.25072133333333335</v>
      </c>
    </row>
    <row r="14" spans="1:23">
      <c r="A14" s="4">
        <v>5</v>
      </c>
      <c r="B14" s="4">
        <v>0</v>
      </c>
      <c r="C14" s="4">
        <v>0</v>
      </c>
      <c r="D14" s="4">
        <v>0</v>
      </c>
      <c r="E14" s="8"/>
      <c r="F14" s="15" t="s">
        <v>1</v>
      </c>
      <c r="G14" s="24">
        <f>AVERAGE(D18:D20)</f>
        <v>0.11379266666666667</v>
      </c>
      <c r="I14" s="4">
        <v>5</v>
      </c>
      <c r="J14" s="4">
        <v>0</v>
      </c>
      <c r="K14" s="4">
        <v>0</v>
      </c>
      <c r="L14" s="4">
        <v>0</v>
      </c>
      <c r="M14" s="8"/>
      <c r="N14" s="15" t="s">
        <v>1</v>
      </c>
      <c r="O14" s="24">
        <f>AVERAGE(L18:L20)</f>
        <v>5.5404666666666665E-2</v>
      </c>
    </row>
    <row r="15" spans="1:23">
      <c r="A15" s="4">
        <v>6</v>
      </c>
      <c r="B15" s="4">
        <v>0</v>
      </c>
      <c r="C15" s="4">
        <v>0</v>
      </c>
      <c r="D15" s="4">
        <v>0</v>
      </c>
      <c r="E15" s="8"/>
      <c r="F15" s="15" t="s">
        <v>2</v>
      </c>
      <c r="G15" s="24">
        <f>AVERAGE(D21:D23)</f>
        <v>0.2674043333333333</v>
      </c>
      <c r="I15" s="4">
        <v>6</v>
      </c>
      <c r="J15" s="4">
        <v>0</v>
      </c>
      <c r="K15" s="4">
        <v>0</v>
      </c>
      <c r="L15" s="4">
        <v>0</v>
      </c>
      <c r="M15" s="8"/>
      <c r="N15" s="15" t="s">
        <v>2</v>
      </c>
      <c r="O15" s="24">
        <f>AVERAGE(L21:L23)</f>
        <v>0.2674043333333333</v>
      </c>
    </row>
    <row r="16" spans="1:23">
      <c r="A16" s="4">
        <v>7</v>
      </c>
      <c r="B16" s="4">
        <v>28284</v>
      </c>
      <c r="C16" s="4">
        <v>0</v>
      </c>
      <c r="D16" s="29">
        <v>1</v>
      </c>
      <c r="E16" s="8"/>
      <c r="F16" s="15" t="s">
        <v>3</v>
      </c>
      <c r="G16" s="24">
        <f>AVERAGE(D24:D26)</f>
        <v>0.99203433333333335</v>
      </c>
      <c r="I16" s="4">
        <v>7</v>
      </c>
      <c r="J16" s="4">
        <v>28284</v>
      </c>
      <c r="K16" s="4">
        <v>14761.714286</v>
      </c>
      <c r="L16" s="29">
        <v>0.47809000000000001</v>
      </c>
      <c r="M16" s="8"/>
      <c r="N16" s="15" t="s">
        <v>3</v>
      </c>
      <c r="O16" s="24">
        <f>AVERAGE(L24:L26)</f>
        <v>0.99203433333333335</v>
      </c>
    </row>
    <row r="17" spans="1:15">
      <c r="A17" s="4">
        <v>8</v>
      </c>
      <c r="B17" s="4">
        <v>121011</v>
      </c>
      <c r="C17" s="4">
        <v>43241</v>
      </c>
      <c r="D17" s="29">
        <v>0.64266900000000005</v>
      </c>
      <c r="E17" s="8"/>
      <c r="F17" s="15" t="s">
        <v>4</v>
      </c>
      <c r="G17" s="24">
        <f>AVERAGE(D27:D29)</f>
        <v>0.16282466666666667</v>
      </c>
      <c r="I17" s="4">
        <v>8</v>
      </c>
      <c r="J17" s="4">
        <v>121011</v>
      </c>
      <c r="K17" s="4">
        <v>87845</v>
      </c>
      <c r="L17" s="29">
        <v>0.27407399999999998</v>
      </c>
      <c r="M17" s="8"/>
      <c r="N17" s="15" t="s">
        <v>4</v>
      </c>
      <c r="O17" s="24">
        <f>AVERAGE(L27:L29)</f>
        <v>0.16282466666666667</v>
      </c>
    </row>
    <row r="18" spans="1:15">
      <c r="A18" s="4">
        <v>9</v>
      </c>
      <c r="B18" s="4">
        <v>135363</v>
      </c>
      <c r="C18" s="4">
        <v>171692</v>
      </c>
      <c r="D18" s="29">
        <v>0.26838200000000001</v>
      </c>
      <c r="E18" s="8"/>
      <c r="F18" s="8"/>
      <c r="G18" s="12"/>
      <c r="I18" s="4">
        <v>9</v>
      </c>
      <c r="J18" s="4">
        <v>135363</v>
      </c>
      <c r="K18" s="4">
        <v>147981.285714</v>
      </c>
      <c r="L18" s="29">
        <v>9.3217999999999995E-2</v>
      </c>
      <c r="M18" s="8"/>
      <c r="N18" s="8"/>
      <c r="O18" s="12"/>
    </row>
    <row r="19" spans="1:15">
      <c r="A19" s="4">
        <v>10</v>
      </c>
      <c r="B19" s="4">
        <v>144847</v>
      </c>
      <c r="C19" s="4">
        <v>146218</v>
      </c>
      <c r="D19" s="29">
        <v>9.4649999999999995E-3</v>
      </c>
      <c r="E19" s="8"/>
      <c r="F19" s="8"/>
      <c r="G19" s="12"/>
      <c r="I19" s="4">
        <v>10</v>
      </c>
      <c r="J19" s="4">
        <v>144847</v>
      </c>
      <c r="K19" s="4">
        <v>146218</v>
      </c>
      <c r="L19" s="29">
        <v>9.4649999999999995E-3</v>
      </c>
      <c r="M19" s="8"/>
      <c r="N19" s="8"/>
      <c r="O19" s="12"/>
    </row>
    <row r="20" spans="1:15" ht="16" customHeight="1">
      <c r="A20" s="4">
        <v>11</v>
      </c>
      <c r="B20" s="4">
        <v>137067</v>
      </c>
      <c r="C20" s="4">
        <v>145775</v>
      </c>
      <c r="D20" s="29">
        <v>6.3531000000000004E-2</v>
      </c>
      <c r="E20" s="8"/>
      <c r="F20" s="37" t="s">
        <v>18</v>
      </c>
      <c r="G20" s="38">
        <f>SUM(B9:B32)</f>
        <v>1194444</v>
      </c>
      <c r="I20" s="4">
        <v>11</v>
      </c>
      <c r="J20" s="4">
        <v>137067</v>
      </c>
      <c r="K20" s="4">
        <v>145775</v>
      </c>
      <c r="L20" s="29">
        <v>6.3531000000000004E-2</v>
      </c>
      <c r="M20" s="8"/>
      <c r="N20" s="37" t="s">
        <v>18</v>
      </c>
      <c r="O20" s="38">
        <f>SUM(J9:J32)</f>
        <v>1194444</v>
      </c>
    </row>
    <row r="21" spans="1:15">
      <c r="A21" s="4">
        <v>12</v>
      </c>
      <c r="B21" s="4">
        <v>100155</v>
      </c>
      <c r="C21" s="4">
        <v>125345</v>
      </c>
      <c r="D21" s="29">
        <v>0.25151000000000001</v>
      </c>
      <c r="E21" s="8"/>
      <c r="F21" s="37"/>
      <c r="G21" s="38"/>
      <c r="I21" s="4">
        <v>12</v>
      </c>
      <c r="J21" s="4">
        <v>100155</v>
      </c>
      <c r="K21" s="4">
        <v>125345</v>
      </c>
      <c r="L21" s="29">
        <v>0.25151000000000001</v>
      </c>
      <c r="M21" s="8"/>
      <c r="N21" s="37"/>
      <c r="O21" s="38"/>
    </row>
    <row r="22" spans="1:15" ht="16" customHeight="1">
      <c r="A22" s="4">
        <v>13</v>
      </c>
      <c r="B22" s="4">
        <v>160939</v>
      </c>
      <c r="C22" s="4">
        <v>80174</v>
      </c>
      <c r="D22" s="29">
        <v>0.50183599999999995</v>
      </c>
      <c r="E22" s="8"/>
      <c r="F22" s="37" t="s">
        <v>19</v>
      </c>
      <c r="G22" s="38">
        <f>SUM(C9:C32)</f>
        <v>1163043</v>
      </c>
      <c r="I22" s="4">
        <v>13</v>
      </c>
      <c r="J22" s="4">
        <v>160939</v>
      </c>
      <c r="K22" s="4">
        <v>80174</v>
      </c>
      <c r="L22" s="29">
        <v>0.50183599999999995</v>
      </c>
      <c r="M22" s="8"/>
      <c r="N22" s="37" t="s">
        <v>19</v>
      </c>
      <c r="O22" s="38">
        <f>SUM(K9:K32)</f>
        <v>1198698</v>
      </c>
    </row>
    <row r="23" spans="1:15">
      <c r="A23" s="4">
        <v>14</v>
      </c>
      <c r="B23" s="4">
        <v>176130</v>
      </c>
      <c r="C23" s="4">
        <v>184737</v>
      </c>
      <c r="D23" s="29">
        <v>4.8867000000000001E-2</v>
      </c>
      <c r="E23" s="8"/>
      <c r="F23" s="37"/>
      <c r="G23" s="38"/>
      <c r="I23" s="4">
        <v>14</v>
      </c>
      <c r="J23" s="4">
        <v>176130</v>
      </c>
      <c r="K23" s="4">
        <v>184737</v>
      </c>
      <c r="L23" s="29">
        <v>4.8867000000000001E-2</v>
      </c>
      <c r="M23" s="8"/>
      <c r="N23" s="37"/>
      <c r="O23" s="38"/>
    </row>
    <row r="24" spans="1:15">
      <c r="A24" s="4">
        <v>15</v>
      </c>
      <c r="B24" s="4">
        <v>79475</v>
      </c>
      <c r="C24" s="4">
        <v>172911</v>
      </c>
      <c r="D24" s="29">
        <v>1.175665</v>
      </c>
      <c r="E24" s="8"/>
      <c r="F24" s="8"/>
      <c r="G24" s="12"/>
      <c r="I24" s="4">
        <v>15</v>
      </c>
      <c r="J24" s="4">
        <v>79475</v>
      </c>
      <c r="K24" s="4">
        <v>172911</v>
      </c>
      <c r="L24" s="29">
        <v>1.175665</v>
      </c>
      <c r="M24" s="8"/>
      <c r="N24" s="8"/>
      <c r="O24" s="12"/>
    </row>
    <row r="25" spans="1:15">
      <c r="A25" s="4">
        <v>16</v>
      </c>
      <c r="B25" s="4">
        <v>76709</v>
      </c>
      <c r="C25" s="4">
        <v>23466</v>
      </c>
      <c r="D25" s="29">
        <v>0.69409100000000001</v>
      </c>
      <c r="E25" s="8"/>
      <c r="F25" s="8"/>
      <c r="G25" s="12"/>
      <c r="I25" s="4">
        <v>16</v>
      </c>
      <c r="J25" s="4">
        <v>76709</v>
      </c>
      <c r="K25" s="4">
        <v>23466</v>
      </c>
      <c r="L25" s="29">
        <v>0.69409100000000001</v>
      </c>
      <c r="M25" s="8"/>
      <c r="N25" s="8"/>
      <c r="O25" s="12"/>
    </row>
    <row r="26" spans="1:15">
      <c r="A26" s="4">
        <v>17</v>
      </c>
      <c r="B26" s="4">
        <v>29432</v>
      </c>
      <c r="C26" s="4">
        <v>61994</v>
      </c>
      <c r="D26" s="29">
        <v>1.106347</v>
      </c>
      <c r="E26" s="8"/>
      <c r="F26" s="8"/>
      <c r="G26" s="12"/>
      <c r="I26" s="4">
        <v>17</v>
      </c>
      <c r="J26" s="4">
        <v>29432</v>
      </c>
      <c r="K26" s="4">
        <v>61994</v>
      </c>
      <c r="L26" s="29">
        <v>1.106347</v>
      </c>
      <c r="M26" s="8"/>
      <c r="N26" s="8"/>
      <c r="O26" s="12"/>
    </row>
    <row r="27" spans="1:15">
      <c r="A27" s="4">
        <v>18</v>
      </c>
      <c r="B27" s="4">
        <v>5032</v>
      </c>
      <c r="C27" s="4">
        <v>7490</v>
      </c>
      <c r="D27" s="29">
        <v>0.48847400000000002</v>
      </c>
      <c r="E27" s="8"/>
      <c r="F27" s="8"/>
      <c r="G27" s="12"/>
      <c r="I27" s="4">
        <v>18</v>
      </c>
      <c r="J27" s="4">
        <v>5032</v>
      </c>
      <c r="K27" s="4">
        <v>7490</v>
      </c>
      <c r="L27" s="29">
        <v>0.48847400000000002</v>
      </c>
      <c r="M27" s="8"/>
      <c r="N27" s="8"/>
      <c r="O27" s="12"/>
    </row>
    <row r="28" spans="1:15">
      <c r="A28" s="4">
        <v>19</v>
      </c>
      <c r="B28" s="4">
        <v>0</v>
      </c>
      <c r="C28" s="4">
        <v>0</v>
      </c>
      <c r="D28" s="4">
        <v>0</v>
      </c>
      <c r="E28" s="8"/>
      <c r="F28" s="8"/>
      <c r="G28" s="12"/>
      <c r="I28" s="4">
        <v>19</v>
      </c>
      <c r="J28" s="4">
        <v>0</v>
      </c>
      <c r="K28" s="4">
        <v>0</v>
      </c>
      <c r="L28" s="4">
        <v>0</v>
      </c>
      <c r="M28" s="8"/>
      <c r="N28" s="8"/>
      <c r="O28" s="12"/>
    </row>
    <row r="29" spans="1:15">
      <c r="A29" s="4">
        <v>20</v>
      </c>
      <c r="B29" s="4">
        <v>0</v>
      </c>
      <c r="C29" s="4">
        <v>0</v>
      </c>
      <c r="D29" s="4">
        <v>0</v>
      </c>
      <c r="E29" s="8"/>
      <c r="F29" s="8"/>
      <c r="G29" s="12"/>
      <c r="I29" s="4">
        <v>20</v>
      </c>
      <c r="J29" s="4">
        <v>0</v>
      </c>
      <c r="K29" s="4">
        <v>0</v>
      </c>
      <c r="L29" s="4">
        <v>0</v>
      </c>
      <c r="M29" s="8"/>
      <c r="N29" s="8"/>
      <c r="O29" s="12"/>
    </row>
    <row r="30" spans="1:15">
      <c r="A30" s="4">
        <v>21</v>
      </c>
      <c r="B30" s="4">
        <v>0</v>
      </c>
      <c r="C30" s="4">
        <v>0</v>
      </c>
      <c r="D30" s="4">
        <v>0</v>
      </c>
      <c r="E30" s="8"/>
      <c r="F30" s="8"/>
      <c r="G30" s="12"/>
      <c r="I30" s="4">
        <v>21</v>
      </c>
      <c r="J30" s="4">
        <v>0</v>
      </c>
      <c r="K30" s="4">
        <v>0</v>
      </c>
      <c r="L30" s="4">
        <v>0</v>
      </c>
      <c r="M30" s="8"/>
      <c r="N30" s="8"/>
      <c r="O30" s="12"/>
    </row>
    <row r="31" spans="1:15">
      <c r="A31" s="4">
        <v>22</v>
      </c>
      <c r="B31" s="4">
        <v>0</v>
      </c>
      <c r="C31" s="4">
        <v>0</v>
      </c>
      <c r="D31" s="4">
        <v>0</v>
      </c>
      <c r="E31" s="8"/>
      <c r="F31" s="8"/>
      <c r="G31" s="12"/>
      <c r="I31" s="4">
        <v>22</v>
      </c>
      <c r="J31" s="4">
        <v>0</v>
      </c>
      <c r="K31" s="4">
        <v>0</v>
      </c>
      <c r="L31" s="4">
        <v>0</v>
      </c>
      <c r="M31" s="8"/>
      <c r="N31" s="8"/>
      <c r="O31" s="12"/>
    </row>
    <row r="32" spans="1:15">
      <c r="A32" s="4">
        <v>23</v>
      </c>
      <c r="B32" s="4">
        <v>0</v>
      </c>
      <c r="C32" s="4">
        <v>0</v>
      </c>
      <c r="D32" s="4">
        <v>0</v>
      </c>
      <c r="E32" s="13"/>
      <c r="F32" s="13"/>
      <c r="G32" s="14"/>
      <c r="I32" s="4">
        <v>23</v>
      </c>
      <c r="J32" s="4">
        <v>0</v>
      </c>
      <c r="K32" s="4">
        <v>0</v>
      </c>
      <c r="L32" s="4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/>
      <c r="B36" s="22" t="s">
        <v>10</v>
      </c>
      <c r="C36" s="22" t="s">
        <v>11</v>
      </c>
      <c r="D36" s="22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4">
        <v>0</v>
      </c>
      <c r="B37" s="4">
        <v>0</v>
      </c>
      <c r="C37" s="4">
        <v>0</v>
      </c>
      <c r="D37" s="4">
        <v>0</v>
      </c>
      <c r="E37" s="8"/>
      <c r="F37" s="15" t="s">
        <v>15</v>
      </c>
      <c r="G37" s="28">
        <f>ABS(G50/G48-1)</f>
        <v>8.0665624699860272E-2</v>
      </c>
      <c r="I37" s="19"/>
      <c r="J37" s="8"/>
      <c r="K37" s="8"/>
      <c r="L37" s="8"/>
      <c r="M37" s="8"/>
      <c r="N37" s="8"/>
      <c r="O37" s="12"/>
    </row>
    <row r="38" spans="1:15">
      <c r="A38" s="4">
        <v>1</v>
      </c>
      <c r="B38" s="4">
        <v>0</v>
      </c>
      <c r="C38" s="4">
        <v>0</v>
      </c>
      <c r="D38" s="4">
        <v>0</v>
      </c>
      <c r="E38" s="8"/>
      <c r="F38" s="15" t="s">
        <v>16</v>
      </c>
      <c r="G38" s="24">
        <f>AVERAGE(D37:D60)</f>
        <v>0.25266150000000004</v>
      </c>
      <c r="I38" s="19"/>
      <c r="J38" s="8"/>
      <c r="K38" s="8"/>
      <c r="L38" s="8"/>
      <c r="M38" s="8"/>
      <c r="N38" s="8"/>
      <c r="O38" s="12"/>
    </row>
    <row r="39" spans="1:15">
      <c r="A39" s="4">
        <v>2</v>
      </c>
      <c r="B39" s="4">
        <v>0</v>
      </c>
      <c r="C39" s="4">
        <v>0</v>
      </c>
      <c r="D39" s="4">
        <v>0</v>
      </c>
      <c r="E39" s="8"/>
      <c r="F39" s="15" t="s">
        <v>17</v>
      </c>
      <c r="G39" s="24">
        <f>AVERAGE(D44:D55)</f>
        <v>0.50532300000000008</v>
      </c>
      <c r="I39" s="19"/>
      <c r="J39" s="8"/>
      <c r="K39" s="8"/>
      <c r="L39" s="8"/>
      <c r="M39" s="8"/>
      <c r="N39" s="8"/>
      <c r="O39" s="12"/>
    </row>
    <row r="40" spans="1:15">
      <c r="A40" s="4">
        <v>3</v>
      </c>
      <c r="B40" s="4">
        <v>0</v>
      </c>
      <c r="C40" s="4">
        <v>0</v>
      </c>
      <c r="D40" s="4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4">
        <v>4</v>
      </c>
      <c r="B41" s="4">
        <v>0</v>
      </c>
      <c r="C41" s="4">
        <v>0</v>
      </c>
      <c r="D41" s="4">
        <v>0</v>
      </c>
      <c r="E41" s="8"/>
      <c r="F41" s="11" t="s">
        <v>0</v>
      </c>
      <c r="G41" s="24">
        <f>AVERAGE(D43:D45)</f>
        <v>0.25072133333333335</v>
      </c>
      <c r="I41" s="19"/>
      <c r="J41" s="8"/>
      <c r="K41" s="8"/>
      <c r="L41" s="8"/>
      <c r="M41" s="8"/>
      <c r="N41" s="8"/>
      <c r="O41" s="12"/>
    </row>
    <row r="42" spans="1:15">
      <c r="A42" s="4">
        <v>5</v>
      </c>
      <c r="B42" s="4">
        <v>0</v>
      </c>
      <c r="C42" s="4">
        <v>0</v>
      </c>
      <c r="D42" s="4">
        <v>0</v>
      </c>
      <c r="E42" s="8"/>
      <c r="F42" s="15" t="s">
        <v>1</v>
      </c>
      <c r="G42" s="24">
        <f>AVERAGE(D46:D48)</f>
        <v>5.5404666666666665E-2</v>
      </c>
      <c r="I42" s="19"/>
      <c r="J42" s="8"/>
      <c r="K42" s="8"/>
      <c r="L42" s="8"/>
      <c r="M42" s="8"/>
      <c r="N42" s="8"/>
      <c r="O42" s="12"/>
    </row>
    <row r="43" spans="1:15">
      <c r="A43" s="4">
        <v>6</v>
      </c>
      <c r="B43" s="4">
        <v>0</v>
      </c>
      <c r="C43" s="4">
        <v>0</v>
      </c>
      <c r="D43" s="4">
        <v>0</v>
      </c>
      <c r="E43" s="8"/>
      <c r="F43" s="15" t="s">
        <v>2</v>
      </c>
      <c r="G43" s="24">
        <f>AVERAGE(D49:D51)</f>
        <v>0.2674043333333333</v>
      </c>
      <c r="I43" s="19"/>
      <c r="J43" s="8"/>
      <c r="K43" s="8"/>
      <c r="L43" s="8"/>
      <c r="M43" s="8"/>
      <c r="N43" s="8"/>
      <c r="O43" s="12"/>
    </row>
    <row r="44" spans="1:15">
      <c r="A44" s="4">
        <v>7</v>
      </c>
      <c r="B44" s="4">
        <v>28284</v>
      </c>
      <c r="C44" s="4">
        <v>14761.714286</v>
      </c>
      <c r="D44" s="29">
        <v>0.47809000000000001</v>
      </c>
      <c r="E44" s="8"/>
      <c r="F44" s="15" t="s">
        <v>3</v>
      </c>
      <c r="G44" s="24">
        <f>AVERAGE(D52:D54)</f>
        <v>0.90392799999999995</v>
      </c>
      <c r="I44" s="19"/>
      <c r="J44" s="8"/>
      <c r="K44" s="8"/>
      <c r="L44" s="8"/>
      <c r="M44" s="8"/>
      <c r="N44" s="8"/>
      <c r="O44" s="12"/>
    </row>
    <row r="45" spans="1:15">
      <c r="A45" s="4">
        <v>8</v>
      </c>
      <c r="B45" s="4">
        <v>121011</v>
      </c>
      <c r="C45" s="4">
        <v>87845</v>
      </c>
      <c r="D45" s="29">
        <v>0.27407399999999998</v>
      </c>
      <c r="E45" s="8"/>
      <c r="F45" s="15" t="s">
        <v>4</v>
      </c>
      <c r="G45" s="24">
        <f>AVERAGE(D55:D57)</f>
        <v>0.54383366666666666</v>
      </c>
      <c r="I45" s="19"/>
      <c r="J45" s="8"/>
      <c r="K45" s="8"/>
      <c r="L45" s="8"/>
      <c r="M45" s="8"/>
      <c r="N45" s="8"/>
      <c r="O45" s="12"/>
    </row>
    <row r="46" spans="1:15">
      <c r="A46" s="4">
        <v>9</v>
      </c>
      <c r="B46" s="4">
        <v>135363</v>
      </c>
      <c r="C46" s="4">
        <v>147981.285714</v>
      </c>
      <c r="D46" s="29">
        <v>9.3217999999999995E-2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4">
        <v>10</v>
      </c>
      <c r="B47" s="4">
        <v>144847</v>
      </c>
      <c r="C47" s="4">
        <v>146218</v>
      </c>
      <c r="D47" s="29">
        <v>9.4649999999999995E-3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4">
        <v>11</v>
      </c>
      <c r="B48" s="4">
        <v>137067</v>
      </c>
      <c r="C48" s="4">
        <v>145775</v>
      </c>
      <c r="D48" s="29">
        <v>6.3531000000000004E-2</v>
      </c>
      <c r="E48" s="8"/>
      <c r="F48" s="37" t="s">
        <v>18</v>
      </c>
      <c r="G48" s="38">
        <f>SUM(B37:B60)</f>
        <v>1194444</v>
      </c>
      <c r="I48" s="19"/>
      <c r="J48" s="8"/>
      <c r="K48" s="8"/>
      <c r="L48" s="8"/>
      <c r="M48" s="8"/>
      <c r="N48" s="8"/>
      <c r="O48" s="12"/>
    </row>
    <row r="49" spans="1:15">
      <c r="A49" s="4">
        <v>12</v>
      </c>
      <c r="B49" s="4">
        <v>100155</v>
      </c>
      <c r="C49" s="4">
        <v>125345</v>
      </c>
      <c r="D49" s="29">
        <v>0.25151000000000001</v>
      </c>
      <c r="E49" s="8"/>
      <c r="F49" s="37"/>
      <c r="G49" s="38"/>
      <c r="I49" s="19"/>
      <c r="J49" s="8"/>
      <c r="K49" s="8"/>
      <c r="L49" s="8"/>
      <c r="M49" s="8"/>
      <c r="N49" s="8"/>
      <c r="O49" s="12"/>
    </row>
    <row r="50" spans="1:15" ht="16" customHeight="1">
      <c r="A50" s="4">
        <v>13</v>
      </c>
      <c r="B50" s="4">
        <v>160939</v>
      </c>
      <c r="C50" s="4">
        <v>80174</v>
      </c>
      <c r="D50" s="29">
        <v>0.50183599999999995</v>
      </c>
      <c r="E50" s="8"/>
      <c r="F50" s="37" t="s">
        <v>19</v>
      </c>
      <c r="G50" s="38">
        <f>SUM(C37:C60)</f>
        <v>1290794.571429</v>
      </c>
      <c r="I50" s="19"/>
      <c r="J50" s="8"/>
      <c r="K50" s="8"/>
      <c r="L50" s="8"/>
      <c r="M50" s="8"/>
      <c r="N50" s="8"/>
      <c r="O50" s="12"/>
    </row>
    <row r="51" spans="1:15">
      <c r="A51" s="4">
        <v>14</v>
      </c>
      <c r="B51" s="4">
        <v>176130</v>
      </c>
      <c r="C51" s="4">
        <v>184737</v>
      </c>
      <c r="D51" s="29">
        <v>4.8867000000000001E-2</v>
      </c>
      <c r="E51" s="8"/>
      <c r="F51" s="37"/>
      <c r="G51" s="38"/>
      <c r="I51" s="19"/>
      <c r="J51" s="8"/>
      <c r="K51" s="8"/>
      <c r="L51" s="8"/>
      <c r="M51" s="8"/>
      <c r="N51" s="8"/>
      <c r="O51" s="12"/>
    </row>
    <row r="52" spans="1:15">
      <c r="A52" s="4">
        <v>15</v>
      </c>
      <c r="B52" s="4">
        <v>79475</v>
      </c>
      <c r="C52" s="4">
        <v>172911</v>
      </c>
      <c r="D52" s="29">
        <v>1.175665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4">
        <v>16</v>
      </c>
      <c r="B53" s="4">
        <v>76709</v>
      </c>
      <c r="C53" s="4">
        <v>109894.571429</v>
      </c>
      <c r="D53" s="29">
        <v>0.432616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4">
        <v>17</v>
      </c>
      <c r="B54" s="4">
        <v>29432</v>
      </c>
      <c r="C54" s="4">
        <v>61910.285713999998</v>
      </c>
      <c r="D54" s="29">
        <v>1.1035029999999999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4">
        <v>18</v>
      </c>
      <c r="B55" s="4">
        <v>5032</v>
      </c>
      <c r="C55" s="4">
        <v>13241.714286</v>
      </c>
      <c r="D55" s="29">
        <v>1.6315010000000001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4">
        <v>19</v>
      </c>
      <c r="B56" s="4">
        <v>0</v>
      </c>
      <c r="C56" s="4">
        <v>0</v>
      </c>
      <c r="D56" s="4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4">
        <v>20</v>
      </c>
      <c r="B57" s="4">
        <v>0</v>
      </c>
      <c r="C57" s="4">
        <v>0</v>
      </c>
      <c r="D57" s="4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4">
        <v>21</v>
      </c>
      <c r="B58" s="4">
        <v>0</v>
      </c>
      <c r="C58" s="4">
        <v>0</v>
      </c>
      <c r="D58" s="4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4">
        <v>22</v>
      </c>
      <c r="B59" s="4">
        <v>0</v>
      </c>
      <c r="C59" s="4">
        <v>0</v>
      </c>
      <c r="D59" s="4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4">
        <v>23</v>
      </c>
      <c r="B60" s="4">
        <v>0</v>
      </c>
      <c r="C60" s="4">
        <v>0</v>
      </c>
      <c r="D60" s="4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38100</xdr:colOff>
                    <xdr:row>56</xdr:row>
                    <xdr:rowOff>50800</xdr:rowOff>
                  </from>
                  <to>
                    <xdr:col>17</xdr:col>
                    <xdr:colOff>127000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25400</xdr:colOff>
                    <xdr:row>58</xdr:row>
                    <xdr:rowOff>50800</xdr:rowOff>
                  </from>
                  <to>
                    <xdr:col>17</xdr:col>
                    <xdr:colOff>127000</xdr:colOff>
                    <xdr:row>59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A7BB2-EDCF-0441-9B0C-93AB07768405}">
  <sheetPr codeName="Sheet21">
    <pageSetUpPr fitToPage="1"/>
  </sheetPr>
  <dimension ref="A1:W61"/>
  <sheetViews>
    <sheetView zoomScale="76" zoomScaleNormal="70" workbookViewId="0">
      <selection activeCell="A2" sqref="A2"/>
    </sheetView>
  </sheetViews>
  <sheetFormatPr baseColWidth="10" defaultColWidth="10.83203125" defaultRowHeight="16"/>
  <cols>
    <col min="1" max="1" width="9.83203125" style="5" customWidth="1"/>
    <col min="2" max="2" width="13.1640625" style="5" customWidth="1"/>
    <col min="3" max="3" width="11.83203125" style="5" customWidth="1"/>
    <col min="4" max="4" width="11.83203125" style="5" bestFit="1" customWidth="1"/>
    <col min="5" max="5" width="10.1640625" style="5" customWidth="1"/>
    <col min="6" max="6" width="14.83203125" style="5" customWidth="1"/>
    <col min="7" max="7" width="10.83203125" style="5"/>
    <col min="8" max="8" width="8" style="5" customWidth="1"/>
    <col min="9" max="9" width="12.1640625" style="5" bestFit="1" customWidth="1"/>
    <col min="10" max="10" width="12.1640625" style="5" customWidth="1"/>
    <col min="11" max="11" width="12.6640625" style="5" customWidth="1"/>
    <col min="12" max="12" width="10.83203125" style="5"/>
    <col min="13" max="13" width="6.33203125" style="5" customWidth="1"/>
    <col min="14" max="14" width="14.83203125" style="5" bestFit="1" customWidth="1"/>
    <col min="15" max="15" width="10.83203125" style="5"/>
    <col min="16" max="16" width="5.33203125" style="5" customWidth="1"/>
    <col min="17" max="20" width="10.83203125" style="5"/>
    <col min="21" max="21" width="11" style="5" customWidth="1"/>
    <col min="22" max="22" width="11.83203125" style="5" customWidth="1"/>
    <col min="23" max="16384" width="10.83203125" style="5"/>
  </cols>
  <sheetData>
    <row r="1" spans="1:23" ht="44" customHeight="1">
      <c r="A1" s="39" t="s">
        <v>42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21"/>
      <c r="Q1" s="21"/>
      <c r="R1" s="21"/>
      <c r="S1" s="21"/>
      <c r="T1" s="21"/>
      <c r="U1" s="21"/>
      <c r="V1" s="21"/>
      <c r="W1" s="21"/>
    </row>
    <row r="2" spans="1:23" ht="16" customHeight="1">
      <c r="A2" s="1"/>
      <c r="B2" s="1"/>
      <c r="C2" s="1"/>
      <c r="D2" s="1"/>
    </row>
    <row r="3" spans="1:23">
      <c r="F3" s="40" t="s">
        <v>5</v>
      </c>
      <c r="G3" s="41"/>
      <c r="H3" s="41"/>
      <c r="I3" s="42"/>
    </row>
    <row r="4" spans="1:23">
      <c r="F4" s="15" t="s">
        <v>6</v>
      </c>
      <c r="G4" s="15" t="s">
        <v>7</v>
      </c>
      <c r="H4" s="15" t="s">
        <v>8</v>
      </c>
      <c r="I4" s="15" t="s">
        <v>9</v>
      </c>
    </row>
    <row r="5" spans="1:23">
      <c r="F5" s="15">
        <v>8</v>
      </c>
      <c r="G5" s="15">
        <v>1</v>
      </c>
      <c r="H5" s="15">
        <v>2</v>
      </c>
      <c r="I5" s="15" t="str">
        <f>IF(ISBLANK(H5)," ",F3&amp;"("&amp;F5&amp;","&amp;G5&amp;","&amp;H5&amp;")")</f>
        <v>ARIMA(8,1,2)</v>
      </c>
    </row>
    <row r="7" spans="1:23">
      <c r="A7" s="34" t="s">
        <v>13</v>
      </c>
      <c r="B7" s="35"/>
      <c r="C7" s="35"/>
      <c r="D7" s="35"/>
      <c r="E7" s="35"/>
      <c r="F7" s="35"/>
      <c r="G7" s="36"/>
      <c r="I7" s="34" t="s">
        <v>22</v>
      </c>
      <c r="J7" s="35"/>
      <c r="K7" s="35"/>
      <c r="L7" s="35"/>
      <c r="M7" s="35"/>
      <c r="N7" s="35"/>
      <c r="O7" s="36"/>
    </row>
    <row r="8" spans="1:23">
      <c r="A8" s="23"/>
      <c r="B8" s="23" t="s">
        <v>10</v>
      </c>
      <c r="C8" s="23" t="s">
        <v>11</v>
      </c>
      <c r="D8" s="23" t="s">
        <v>12</v>
      </c>
      <c r="E8" s="8"/>
      <c r="F8" s="34" t="s">
        <v>14</v>
      </c>
      <c r="G8" s="36"/>
      <c r="I8" s="23"/>
      <c r="J8" s="23" t="s">
        <v>10</v>
      </c>
      <c r="K8" s="23" t="s">
        <v>11</v>
      </c>
      <c r="L8" s="23" t="s">
        <v>12</v>
      </c>
      <c r="M8" s="8"/>
      <c r="N8" s="34" t="s">
        <v>14</v>
      </c>
      <c r="O8" s="36"/>
    </row>
    <row r="9" spans="1:23">
      <c r="A9" s="9">
        <v>0</v>
      </c>
      <c r="B9" s="9">
        <v>0</v>
      </c>
      <c r="C9" s="9">
        <v>0</v>
      </c>
      <c r="D9" s="9">
        <v>0</v>
      </c>
      <c r="E9" s="8"/>
      <c r="F9" s="15" t="s">
        <v>15</v>
      </c>
      <c r="G9" s="28">
        <f>ABS(G22/G20-1)</f>
        <v>1.011662482922282E-3</v>
      </c>
      <c r="I9" s="9">
        <v>0</v>
      </c>
      <c r="J9" s="9">
        <v>0</v>
      </c>
      <c r="K9" s="9">
        <v>0</v>
      </c>
      <c r="L9" s="9">
        <v>0</v>
      </c>
      <c r="M9" s="8"/>
      <c r="N9" s="15" t="s">
        <v>15</v>
      </c>
      <c r="O9" s="28">
        <f>ABS(O22/O20-1)</f>
        <v>0.12900614763653895</v>
      </c>
    </row>
    <row r="10" spans="1:23">
      <c r="A10" s="9">
        <v>1</v>
      </c>
      <c r="B10" s="9">
        <v>0</v>
      </c>
      <c r="C10" s="9">
        <v>0</v>
      </c>
      <c r="D10" s="9">
        <v>0</v>
      </c>
      <c r="E10" s="8"/>
      <c r="F10" s="15" t="s">
        <v>16</v>
      </c>
      <c r="G10" s="24">
        <f>AVERAGE(D9:D32)</f>
        <v>0.20658849999999998</v>
      </c>
      <c r="I10" s="9">
        <v>1</v>
      </c>
      <c r="J10" s="9">
        <v>0</v>
      </c>
      <c r="K10" s="9">
        <v>0</v>
      </c>
      <c r="L10" s="9">
        <v>0</v>
      </c>
      <c r="M10" s="8"/>
      <c r="N10" s="15" t="s">
        <v>16</v>
      </c>
      <c r="O10" s="24">
        <f>AVERAGE(L9:L32)</f>
        <v>0.36323516666666666</v>
      </c>
    </row>
    <row r="11" spans="1:23">
      <c r="A11" s="9">
        <v>2</v>
      </c>
      <c r="B11" s="9">
        <v>0</v>
      </c>
      <c r="C11" s="9">
        <v>0</v>
      </c>
      <c r="D11" s="9">
        <v>0</v>
      </c>
      <c r="E11" s="8"/>
      <c r="F11" s="15" t="s">
        <v>17</v>
      </c>
      <c r="G11" s="24">
        <f>AVERAGE(D16:D27)</f>
        <v>0.41317699999999996</v>
      </c>
      <c r="I11" s="9">
        <v>2</v>
      </c>
      <c r="J11" s="9">
        <v>0</v>
      </c>
      <c r="K11" s="9">
        <v>0</v>
      </c>
      <c r="L11" s="9">
        <v>0</v>
      </c>
      <c r="M11" s="8"/>
      <c r="N11" s="15" t="s">
        <v>17</v>
      </c>
      <c r="O11" s="24">
        <f>AVERAGE(L16:L27)</f>
        <v>0.72647033333333333</v>
      </c>
    </row>
    <row r="12" spans="1:23">
      <c r="A12" s="9">
        <v>3</v>
      </c>
      <c r="B12" s="9">
        <v>0</v>
      </c>
      <c r="C12" s="9">
        <v>0</v>
      </c>
      <c r="D12" s="9">
        <v>0</v>
      </c>
      <c r="E12" s="8"/>
      <c r="F12" s="10"/>
      <c r="G12" s="25"/>
      <c r="I12" s="9">
        <v>3</v>
      </c>
      <c r="J12" s="9">
        <v>0</v>
      </c>
      <c r="K12" s="9">
        <v>0</v>
      </c>
      <c r="L12" s="9">
        <v>0</v>
      </c>
      <c r="M12" s="8"/>
      <c r="N12" s="10"/>
      <c r="O12" s="25"/>
    </row>
    <row r="13" spans="1:23">
      <c r="A13" s="9">
        <v>4</v>
      </c>
      <c r="B13" s="9">
        <v>0</v>
      </c>
      <c r="C13" s="9">
        <v>0</v>
      </c>
      <c r="D13" s="9">
        <v>0</v>
      </c>
      <c r="E13" s="8"/>
      <c r="F13" s="11" t="s">
        <v>0</v>
      </c>
      <c r="G13" s="24">
        <f>AVERAGE(D15:D17)</f>
        <v>0.62150366666666668</v>
      </c>
      <c r="I13" s="9">
        <v>4</v>
      </c>
      <c r="J13" s="9">
        <v>0</v>
      </c>
      <c r="K13" s="9">
        <v>0</v>
      </c>
      <c r="L13" s="9">
        <v>0</v>
      </c>
      <c r="M13" s="8"/>
      <c r="N13" s="11" t="s">
        <v>0</v>
      </c>
      <c r="O13" s="24">
        <f>AVERAGE(L15:L17)</f>
        <v>2.0337826666666667</v>
      </c>
    </row>
    <row r="14" spans="1:23">
      <c r="A14" s="9">
        <v>5</v>
      </c>
      <c r="B14" s="9">
        <v>0</v>
      </c>
      <c r="C14" s="9">
        <v>0</v>
      </c>
      <c r="D14" s="9">
        <v>0</v>
      </c>
      <c r="E14" s="8"/>
      <c r="F14" s="15" t="s">
        <v>1</v>
      </c>
      <c r="G14" s="24">
        <f>AVERAGE(D18:D20)</f>
        <v>0.21190966666666666</v>
      </c>
      <c r="I14" s="9">
        <v>5</v>
      </c>
      <c r="J14" s="9">
        <v>0</v>
      </c>
      <c r="K14" s="9">
        <v>0</v>
      </c>
      <c r="L14" s="9">
        <v>0</v>
      </c>
      <c r="M14" s="8"/>
      <c r="N14" s="15" t="s">
        <v>1</v>
      </c>
      <c r="O14" s="24">
        <f>AVERAGE(L18:L20)</f>
        <v>5.2803999999999997E-2</v>
      </c>
    </row>
    <row r="15" spans="1:23">
      <c r="A15" s="9">
        <v>6</v>
      </c>
      <c r="B15" s="9">
        <v>0</v>
      </c>
      <c r="C15" s="9">
        <v>0</v>
      </c>
      <c r="D15" s="9">
        <v>0</v>
      </c>
      <c r="E15" s="8"/>
      <c r="F15" s="15" t="s">
        <v>2</v>
      </c>
      <c r="G15" s="24">
        <f>AVERAGE(D21:D23)</f>
        <v>4.8510999999999999E-2</v>
      </c>
      <c r="I15" s="9">
        <v>6</v>
      </c>
      <c r="J15" s="9">
        <v>0</v>
      </c>
      <c r="K15" s="9">
        <v>0</v>
      </c>
      <c r="L15" s="9">
        <v>0</v>
      </c>
      <c r="M15" s="8"/>
      <c r="N15" s="15" t="s">
        <v>2</v>
      </c>
      <c r="O15" s="24">
        <f>AVERAGE(L21:L23)</f>
        <v>4.8510999999999999E-2</v>
      </c>
    </row>
    <row r="16" spans="1:23">
      <c r="A16" s="9">
        <v>7</v>
      </c>
      <c r="B16" s="9">
        <v>773</v>
      </c>
      <c r="C16" s="9">
        <v>2023</v>
      </c>
      <c r="D16" s="26">
        <v>1.617076</v>
      </c>
      <c r="E16" s="8"/>
      <c r="F16" s="15" t="s">
        <v>3</v>
      </c>
      <c r="G16" s="24">
        <f>AVERAGE(D24:D26)</f>
        <v>0.43745033333333333</v>
      </c>
      <c r="I16" s="9">
        <v>7</v>
      </c>
      <c r="J16" s="9">
        <v>773</v>
      </c>
      <c r="K16" s="9">
        <v>3509.8588570000002</v>
      </c>
      <c r="L16" s="26">
        <v>3.5405679999999999</v>
      </c>
      <c r="M16" s="8"/>
      <c r="N16" s="15" t="s">
        <v>3</v>
      </c>
      <c r="O16" s="24">
        <f>AVERAGE(L24:L26)</f>
        <v>0.43745033333333333</v>
      </c>
    </row>
    <row r="17" spans="1:15">
      <c r="A17" s="9">
        <v>8</v>
      </c>
      <c r="B17" s="9">
        <v>4191</v>
      </c>
      <c r="C17" s="9">
        <v>3154</v>
      </c>
      <c r="D17" s="26">
        <v>0.24743499999999999</v>
      </c>
      <c r="E17" s="8"/>
      <c r="F17" s="15" t="s">
        <v>4</v>
      </c>
      <c r="G17" s="24">
        <f>AVERAGE(D27:D29)</f>
        <v>0.33333333333333331</v>
      </c>
      <c r="I17" s="9">
        <v>8</v>
      </c>
      <c r="J17" s="9">
        <v>4191</v>
      </c>
      <c r="K17" s="9">
        <v>14923.228571</v>
      </c>
      <c r="L17" s="26">
        <v>2.5607799999999998</v>
      </c>
      <c r="M17" s="8"/>
      <c r="N17" s="15" t="s">
        <v>4</v>
      </c>
      <c r="O17" s="24">
        <f>AVERAGE(L27:L29)</f>
        <v>0.33333333333333331</v>
      </c>
    </row>
    <row r="18" spans="1:15">
      <c r="A18" s="9">
        <v>9</v>
      </c>
      <c r="B18" s="9">
        <v>19440</v>
      </c>
      <c r="C18" s="9">
        <v>7677</v>
      </c>
      <c r="D18" s="26">
        <v>0.60509299999999999</v>
      </c>
      <c r="E18" s="8"/>
      <c r="F18" s="8"/>
      <c r="G18" s="12"/>
      <c r="I18" s="9">
        <v>9</v>
      </c>
      <c r="J18" s="9">
        <v>19440</v>
      </c>
      <c r="K18" s="9">
        <v>21923.97</v>
      </c>
      <c r="L18" s="26">
        <v>0.127776</v>
      </c>
      <c r="M18" s="8"/>
      <c r="N18" s="8"/>
      <c r="O18" s="12"/>
    </row>
    <row r="19" spans="1:15">
      <c r="A19" s="9">
        <v>10</v>
      </c>
      <c r="B19" s="9">
        <v>27491</v>
      </c>
      <c r="C19" s="9">
        <v>28202</v>
      </c>
      <c r="D19" s="26">
        <v>2.5863000000000001E-2</v>
      </c>
      <c r="E19" s="8"/>
      <c r="F19" s="8"/>
      <c r="G19" s="12"/>
      <c r="I19" s="9">
        <v>10</v>
      </c>
      <c r="J19" s="9">
        <v>27491</v>
      </c>
      <c r="K19" s="9">
        <v>28202</v>
      </c>
      <c r="L19" s="26">
        <v>2.5863000000000001E-2</v>
      </c>
      <c r="M19" s="8"/>
      <c r="N19" s="8"/>
      <c r="O19" s="12"/>
    </row>
    <row r="20" spans="1:15" ht="16" customHeight="1">
      <c r="A20" s="9">
        <v>11</v>
      </c>
      <c r="B20" s="9">
        <v>28914</v>
      </c>
      <c r="C20" s="9">
        <v>28776</v>
      </c>
      <c r="D20" s="26">
        <v>4.7730000000000003E-3</v>
      </c>
      <c r="E20" s="8"/>
      <c r="F20" s="37" t="s">
        <v>18</v>
      </c>
      <c r="G20" s="43">
        <f>SUM(B9:B32)</f>
        <v>211533</v>
      </c>
      <c r="I20" s="9">
        <v>11</v>
      </c>
      <c r="J20" s="9">
        <v>28914</v>
      </c>
      <c r="K20" s="9">
        <v>28776</v>
      </c>
      <c r="L20" s="26">
        <v>4.7730000000000003E-3</v>
      </c>
      <c r="M20" s="8"/>
      <c r="N20" s="37" t="s">
        <v>18</v>
      </c>
      <c r="O20" s="43">
        <f>SUM(J9:J32)</f>
        <v>211533</v>
      </c>
    </row>
    <row r="21" spans="1:15">
      <c r="A21" s="9">
        <v>12</v>
      </c>
      <c r="B21" s="9">
        <v>26239</v>
      </c>
      <c r="C21" s="9">
        <v>27636</v>
      </c>
      <c r="D21" s="26">
        <v>5.3240999999999997E-2</v>
      </c>
      <c r="E21" s="8"/>
      <c r="F21" s="37"/>
      <c r="G21" s="43"/>
      <c r="I21" s="9">
        <v>12</v>
      </c>
      <c r="J21" s="9">
        <v>26239</v>
      </c>
      <c r="K21" s="9">
        <v>27636</v>
      </c>
      <c r="L21" s="26">
        <v>5.3240999999999997E-2</v>
      </c>
      <c r="M21" s="8"/>
      <c r="N21" s="37"/>
      <c r="O21" s="43"/>
    </row>
    <row r="22" spans="1:15" ht="16" customHeight="1">
      <c r="A22" s="9">
        <v>13</v>
      </c>
      <c r="B22" s="9">
        <v>26079</v>
      </c>
      <c r="C22" s="9">
        <v>24244</v>
      </c>
      <c r="D22" s="26">
        <v>7.0362999999999995E-2</v>
      </c>
      <c r="E22" s="8"/>
      <c r="F22" s="37" t="s">
        <v>19</v>
      </c>
      <c r="G22" s="43">
        <f>SUM(C9:C32)</f>
        <v>211319</v>
      </c>
      <c r="I22" s="9">
        <v>13</v>
      </c>
      <c r="J22" s="9">
        <v>26079</v>
      </c>
      <c r="K22" s="9">
        <v>24244</v>
      </c>
      <c r="L22" s="26">
        <v>7.0362999999999995E-2</v>
      </c>
      <c r="M22" s="8"/>
      <c r="N22" s="37" t="s">
        <v>19</v>
      </c>
      <c r="O22" s="43">
        <f>SUM(K9:K32)</f>
        <v>238822.057428</v>
      </c>
    </row>
    <row r="23" spans="1:15">
      <c r="A23" s="9">
        <v>14</v>
      </c>
      <c r="B23" s="9">
        <v>26950</v>
      </c>
      <c r="C23" s="9">
        <v>26359</v>
      </c>
      <c r="D23" s="26">
        <v>2.1929000000000001E-2</v>
      </c>
      <c r="E23" s="8"/>
      <c r="F23" s="37"/>
      <c r="G23" s="43"/>
      <c r="I23" s="9">
        <v>14</v>
      </c>
      <c r="J23" s="9">
        <v>26950</v>
      </c>
      <c r="K23" s="9">
        <v>26359</v>
      </c>
      <c r="L23" s="26">
        <v>2.1929000000000001E-2</v>
      </c>
      <c r="M23" s="8"/>
      <c r="N23" s="37"/>
      <c r="O23" s="43"/>
    </row>
    <row r="24" spans="1:15">
      <c r="A24" s="9">
        <v>15</v>
      </c>
      <c r="B24" s="9">
        <v>25201</v>
      </c>
      <c r="C24" s="9">
        <v>25744</v>
      </c>
      <c r="D24" s="26">
        <v>2.1547E-2</v>
      </c>
      <c r="E24" s="8"/>
      <c r="F24" s="8"/>
      <c r="G24" s="12"/>
      <c r="I24" s="9">
        <v>15</v>
      </c>
      <c r="J24" s="9">
        <v>25201</v>
      </c>
      <c r="K24" s="9">
        <v>25744</v>
      </c>
      <c r="L24" s="26">
        <v>2.1547E-2</v>
      </c>
      <c r="M24" s="8"/>
      <c r="N24" s="8"/>
      <c r="O24" s="12"/>
    </row>
    <row r="25" spans="1:15">
      <c r="A25" s="9">
        <v>16</v>
      </c>
      <c r="B25" s="9">
        <v>19048</v>
      </c>
      <c r="C25" s="9">
        <v>23563</v>
      </c>
      <c r="D25" s="26">
        <v>0.23703299999999999</v>
      </c>
      <c r="E25" s="8"/>
      <c r="F25" s="8"/>
      <c r="G25" s="12"/>
      <c r="I25" s="9">
        <v>16</v>
      </c>
      <c r="J25" s="9">
        <v>19048</v>
      </c>
      <c r="K25" s="9">
        <v>23563</v>
      </c>
      <c r="L25" s="26">
        <v>0.23703299999999999</v>
      </c>
      <c r="M25" s="8"/>
      <c r="N25" s="8"/>
      <c r="O25" s="12"/>
    </row>
    <row r="26" spans="1:15">
      <c r="A26" s="9">
        <v>17</v>
      </c>
      <c r="B26" s="9">
        <v>6788</v>
      </c>
      <c r="C26" s="9">
        <v>13941</v>
      </c>
      <c r="D26" s="26">
        <v>1.053771</v>
      </c>
      <c r="E26" s="8"/>
      <c r="F26" s="8"/>
      <c r="G26" s="12"/>
      <c r="I26" s="9">
        <v>17</v>
      </c>
      <c r="J26" s="9">
        <v>6788</v>
      </c>
      <c r="K26" s="9">
        <v>13941</v>
      </c>
      <c r="L26" s="26">
        <v>1.053771</v>
      </c>
      <c r="M26" s="8"/>
      <c r="N26" s="8"/>
      <c r="O26" s="12"/>
    </row>
    <row r="27" spans="1:15">
      <c r="A27" s="9">
        <v>18</v>
      </c>
      <c r="B27" s="9">
        <v>419</v>
      </c>
      <c r="C27" s="9">
        <v>0</v>
      </c>
      <c r="D27" s="26">
        <v>1</v>
      </c>
      <c r="E27" s="8"/>
      <c r="F27" s="8"/>
      <c r="G27" s="12"/>
      <c r="I27" s="9">
        <v>18</v>
      </c>
      <c r="J27" s="9">
        <v>419</v>
      </c>
      <c r="K27" s="9">
        <v>0</v>
      </c>
      <c r="L27" s="26">
        <v>1</v>
      </c>
      <c r="M27" s="8"/>
      <c r="N27" s="8"/>
      <c r="O27" s="12"/>
    </row>
    <row r="28" spans="1:15">
      <c r="A28" s="9">
        <v>19</v>
      </c>
      <c r="B28" s="9">
        <v>0</v>
      </c>
      <c r="C28" s="9">
        <v>0</v>
      </c>
      <c r="D28" s="9">
        <v>0</v>
      </c>
      <c r="E28" s="8"/>
      <c r="F28" s="8"/>
      <c r="G28" s="12"/>
      <c r="I28" s="9">
        <v>19</v>
      </c>
      <c r="J28" s="9">
        <v>0</v>
      </c>
      <c r="K28" s="9">
        <v>0</v>
      </c>
      <c r="L28" s="9">
        <v>0</v>
      </c>
      <c r="M28" s="8"/>
      <c r="N28" s="8"/>
      <c r="O28" s="12"/>
    </row>
    <row r="29" spans="1:15">
      <c r="A29" s="9">
        <v>20</v>
      </c>
      <c r="B29" s="9">
        <v>0</v>
      </c>
      <c r="C29" s="9">
        <v>0</v>
      </c>
      <c r="D29" s="9">
        <v>0</v>
      </c>
      <c r="E29" s="8"/>
      <c r="F29" s="8"/>
      <c r="G29" s="12"/>
      <c r="I29" s="9">
        <v>20</v>
      </c>
      <c r="J29" s="9">
        <v>0</v>
      </c>
      <c r="K29" s="9">
        <v>0</v>
      </c>
      <c r="L29" s="9">
        <v>0</v>
      </c>
      <c r="M29" s="8"/>
      <c r="N29" s="8"/>
      <c r="O29" s="12"/>
    </row>
    <row r="30" spans="1:15">
      <c r="A30" s="9">
        <v>21</v>
      </c>
      <c r="B30" s="9">
        <v>0</v>
      </c>
      <c r="C30" s="9">
        <v>0</v>
      </c>
      <c r="D30" s="9">
        <v>0</v>
      </c>
      <c r="E30" s="8"/>
      <c r="F30" s="8"/>
      <c r="G30" s="12"/>
      <c r="I30" s="9">
        <v>21</v>
      </c>
      <c r="J30" s="9">
        <v>0</v>
      </c>
      <c r="K30" s="9">
        <v>0</v>
      </c>
      <c r="L30" s="9">
        <v>0</v>
      </c>
      <c r="M30" s="8"/>
      <c r="N30" s="8"/>
      <c r="O30" s="12"/>
    </row>
    <row r="31" spans="1:15">
      <c r="A31" s="9">
        <v>22</v>
      </c>
      <c r="B31" s="9">
        <v>0</v>
      </c>
      <c r="C31" s="9">
        <v>0</v>
      </c>
      <c r="D31" s="9">
        <v>0</v>
      </c>
      <c r="E31" s="8"/>
      <c r="F31" s="8"/>
      <c r="G31" s="12"/>
      <c r="I31" s="9">
        <v>22</v>
      </c>
      <c r="J31" s="9">
        <v>0</v>
      </c>
      <c r="K31" s="9">
        <v>0</v>
      </c>
      <c r="L31" s="9">
        <v>0</v>
      </c>
      <c r="M31" s="8"/>
      <c r="N31" s="8"/>
      <c r="O31" s="12"/>
    </row>
    <row r="32" spans="1:15">
      <c r="A32" s="9">
        <v>23</v>
      </c>
      <c r="B32" s="9">
        <v>0</v>
      </c>
      <c r="C32" s="9">
        <v>0</v>
      </c>
      <c r="D32" s="9">
        <v>0</v>
      </c>
      <c r="E32" s="13"/>
      <c r="F32" s="13"/>
      <c r="G32" s="14"/>
      <c r="I32" s="9">
        <v>23</v>
      </c>
      <c r="J32" s="9">
        <v>0</v>
      </c>
      <c r="K32" s="9">
        <v>0</v>
      </c>
      <c r="L32" s="9">
        <v>0</v>
      </c>
      <c r="M32" s="13"/>
      <c r="N32" s="13"/>
      <c r="O32" s="14"/>
    </row>
    <row r="35" spans="1:15">
      <c r="A35" s="34" t="s">
        <v>21</v>
      </c>
      <c r="B35" s="35"/>
      <c r="C35" s="35"/>
      <c r="D35" s="35"/>
      <c r="E35" s="35"/>
      <c r="F35" s="35"/>
      <c r="G35" s="36"/>
      <c r="I35" s="16"/>
      <c r="J35" s="17"/>
      <c r="K35" s="17"/>
      <c r="L35" s="17"/>
      <c r="M35" s="17"/>
      <c r="N35" s="17"/>
      <c r="O35" s="18"/>
    </row>
    <row r="36" spans="1:15">
      <c r="A36" s="22"/>
      <c r="B36" s="22" t="s">
        <v>10</v>
      </c>
      <c r="C36" s="22" t="s">
        <v>11</v>
      </c>
      <c r="D36" s="22" t="s">
        <v>12</v>
      </c>
      <c r="E36" s="8"/>
      <c r="F36" s="34" t="s">
        <v>14</v>
      </c>
      <c r="G36" s="36"/>
      <c r="I36" s="19"/>
      <c r="J36" s="8"/>
      <c r="K36" s="8"/>
      <c r="L36" s="8"/>
      <c r="M36" s="8"/>
      <c r="N36" s="8"/>
      <c r="O36" s="12"/>
    </row>
    <row r="37" spans="1:15">
      <c r="A37" s="9">
        <v>0</v>
      </c>
      <c r="B37" s="9">
        <v>0</v>
      </c>
      <c r="C37" s="9">
        <v>0</v>
      </c>
      <c r="D37" s="9">
        <v>0</v>
      </c>
      <c r="E37" s="8"/>
      <c r="F37" s="15" t="s">
        <v>15</v>
      </c>
      <c r="G37" s="28">
        <f>ABS(G50/G48-1)</f>
        <v>0.13279323428495782</v>
      </c>
      <c r="I37" s="19"/>
      <c r="J37" s="8"/>
      <c r="K37" s="8"/>
      <c r="L37" s="8"/>
      <c r="M37" s="8"/>
      <c r="N37" s="8"/>
      <c r="O37" s="12"/>
    </row>
    <row r="38" spans="1:15">
      <c r="A38" s="9">
        <v>1</v>
      </c>
      <c r="B38" s="9">
        <v>0</v>
      </c>
      <c r="C38" s="9">
        <v>0</v>
      </c>
      <c r="D38" s="9">
        <v>0</v>
      </c>
      <c r="E38" s="8"/>
      <c r="F38" s="15" t="s">
        <v>16</v>
      </c>
      <c r="G38" s="24">
        <f>AVERAGE(D37:D60)</f>
        <v>0.56853495833333334</v>
      </c>
      <c r="I38" s="19"/>
      <c r="J38" s="8"/>
      <c r="K38" s="8"/>
      <c r="L38" s="8"/>
      <c r="M38" s="8"/>
      <c r="N38" s="8"/>
      <c r="O38" s="12"/>
    </row>
    <row r="39" spans="1:15">
      <c r="A39" s="9">
        <v>2</v>
      </c>
      <c r="B39" s="9">
        <v>0</v>
      </c>
      <c r="C39" s="9">
        <v>0</v>
      </c>
      <c r="D39" s="9">
        <v>0</v>
      </c>
      <c r="E39" s="8"/>
      <c r="F39" s="15" t="s">
        <v>17</v>
      </c>
      <c r="G39" s="24">
        <f>AVERAGE(D44:D55)</f>
        <v>1.1370699166666667</v>
      </c>
      <c r="I39" s="19"/>
      <c r="J39" s="8"/>
      <c r="K39" s="8"/>
      <c r="L39" s="8"/>
      <c r="M39" s="8"/>
      <c r="N39" s="8"/>
      <c r="O39" s="12"/>
    </row>
    <row r="40" spans="1:15">
      <c r="A40" s="9">
        <v>3</v>
      </c>
      <c r="B40" s="9">
        <v>0</v>
      </c>
      <c r="C40" s="9">
        <v>0</v>
      </c>
      <c r="D40" s="9">
        <v>0</v>
      </c>
      <c r="E40" s="8"/>
      <c r="F40" s="10"/>
      <c r="G40" s="25"/>
      <c r="I40" s="19"/>
      <c r="J40" s="8"/>
      <c r="K40" s="8"/>
      <c r="L40" s="8"/>
      <c r="M40" s="8"/>
      <c r="N40" s="8"/>
      <c r="O40" s="12"/>
    </row>
    <row r="41" spans="1:15">
      <c r="A41" s="9">
        <v>4</v>
      </c>
      <c r="B41" s="9">
        <v>0</v>
      </c>
      <c r="C41" s="9">
        <v>0</v>
      </c>
      <c r="D41" s="9">
        <v>0</v>
      </c>
      <c r="E41" s="8"/>
      <c r="F41" s="11" t="s">
        <v>0</v>
      </c>
      <c r="G41" s="24">
        <f>AVERAGE(D43:D45)</f>
        <v>2.0337826666666667</v>
      </c>
      <c r="I41" s="19"/>
      <c r="J41" s="8"/>
      <c r="K41" s="8"/>
      <c r="L41" s="8"/>
      <c r="M41" s="8"/>
      <c r="N41" s="8"/>
      <c r="O41" s="12"/>
    </row>
    <row r="42" spans="1:15">
      <c r="A42" s="9">
        <v>5</v>
      </c>
      <c r="B42" s="9">
        <v>0</v>
      </c>
      <c r="C42" s="9">
        <v>0</v>
      </c>
      <c r="D42" s="9">
        <v>0</v>
      </c>
      <c r="E42" s="8"/>
      <c r="F42" s="15" t="s">
        <v>1</v>
      </c>
      <c r="G42" s="24">
        <f>AVERAGE(D46:D48)</f>
        <v>5.2803999999999997E-2</v>
      </c>
      <c r="I42" s="19"/>
      <c r="J42" s="8"/>
      <c r="K42" s="8"/>
      <c r="L42" s="8"/>
      <c r="M42" s="8"/>
      <c r="N42" s="8"/>
      <c r="O42" s="12"/>
    </row>
    <row r="43" spans="1:15">
      <c r="A43" s="9">
        <v>6</v>
      </c>
      <c r="B43" s="9">
        <v>0</v>
      </c>
      <c r="C43" s="9">
        <v>0</v>
      </c>
      <c r="D43" s="9">
        <v>0</v>
      </c>
      <c r="E43" s="8"/>
      <c r="F43" s="15" t="s">
        <v>2</v>
      </c>
      <c r="G43" s="24">
        <f>AVERAGE(D49:D51)</f>
        <v>4.8510999999999999E-2</v>
      </c>
      <c r="I43" s="19"/>
      <c r="J43" s="8"/>
      <c r="K43" s="8"/>
      <c r="L43" s="8"/>
      <c r="M43" s="8"/>
      <c r="N43" s="8"/>
      <c r="O43" s="12"/>
    </row>
    <row r="44" spans="1:15">
      <c r="A44" s="9">
        <v>7</v>
      </c>
      <c r="B44" s="9">
        <v>773</v>
      </c>
      <c r="C44" s="9">
        <v>3509.8588570000002</v>
      </c>
      <c r="D44" s="26">
        <v>3.5405679999999999</v>
      </c>
      <c r="E44" s="8"/>
      <c r="F44" s="15" t="s">
        <v>3</v>
      </c>
      <c r="G44" s="24">
        <f>AVERAGE(D52:D54)</f>
        <v>0.36006833333333338</v>
      </c>
      <c r="I44" s="19"/>
      <c r="J44" s="8"/>
      <c r="K44" s="8"/>
      <c r="L44" s="8"/>
      <c r="M44" s="8"/>
      <c r="N44" s="8"/>
      <c r="O44" s="12"/>
    </row>
    <row r="45" spans="1:15">
      <c r="A45" s="9">
        <v>8</v>
      </c>
      <c r="B45" s="9">
        <v>4191</v>
      </c>
      <c r="C45" s="9">
        <v>14923.228571</v>
      </c>
      <c r="D45" s="26">
        <v>2.5607799999999998</v>
      </c>
      <c r="E45" s="8"/>
      <c r="F45" s="15" t="s">
        <v>4</v>
      </c>
      <c r="G45" s="24">
        <f>AVERAGE(D55:D57)</f>
        <v>2.0531136666666669</v>
      </c>
      <c r="I45" s="19"/>
      <c r="J45" s="8"/>
      <c r="K45" s="8"/>
      <c r="L45" s="8"/>
      <c r="M45" s="8"/>
      <c r="N45" s="8"/>
      <c r="O45" s="12"/>
    </row>
    <row r="46" spans="1:15">
      <c r="A46" s="9">
        <v>9</v>
      </c>
      <c r="B46" s="9">
        <v>19440</v>
      </c>
      <c r="C46" s="9">
        <v>21923.97</v>
      </c>
      <c r="D46" s="26">
        <v>0.127776</v>
      </c>
      <c r="E46" s="8"/>
      <c r="F46" s="8"/>
      <c r="G46" s="12"/>
      <c r="I46" s="19"/>
      <c r="J46" s="8"/>
      <c r="K46" s="8"/>
      <c r="L46" s="8"/>
      <c r="M46" s="8"/>
      <c r="N46" s="8"/>
      <c r="O46" s="12"/>
    </row>
    <row r="47" spans="1:15">
      <c r="A47" s="9">
        <v>10</v>
      </c>
      <c r="B47" s="9">
        <v>27491</v>
      </c>
      <c r="C47" s="9">
        <v>28202</v>
      </c>
      <c r="D47" s="26">
        <v>2.5863000000000001E-2</v>
      </c>
      <c r="E47" s="8"/>
      <c r="F47" s="8"/>
      <c r="G47" s="12"/>
      <c r="I47" s="19"/>
      <c r="J47" s="8"/>
      <c r="K47" s="8"/>
      <c r="L47" s="8"/>
      <c r="M47" s="8"/>
      <c r="N47" s="8"/>
      <c r="O47" s="12"/>
    </row>
    <row r="48" spans="1:15" ht="16" customHeight="1">
      <c r="A48" s="9">
        <v>11</v>
      </c>
      <c r="B48" s="9">
        <v>28914</v>
      </c>
      <c r="C48" s="9">
        <v>28776</v>
      </c>
      <c r="D48" s="26">
        <v>4.7730000000000003E-3</v>
      </c>
      <c r="E48" s="8"/>
      <c r="F48" s="37" t="s">
        <v>18</v>
      </c>
      <c r="G48" s="43">
        <f>SUM(B37:B60)</f>
        <v>211533</v>
      </c>
      <c r="I48" s="19"/>
      <c r="J48" s="8"/>
      <c r="K48" s="8"/>
      <c r="L48" s="8"/>
      <c r="M48" s="8"/>
      <c r="N48" s="8"/>
      <c r="O48" s="12"/>
    </row>
    <row r="49" spans="1:15">
      <c r="A49" s="9">
        <v>12</v>
      </c>
      <c r="B49" s="9">
        <v>26239</v>
      </c>
      <c r="C49" s="9">
        <v>27636</v>
      </c>
      <c r="D49" s="26">
        <v>5.3240999999999997E-2</v>
      </c>
      <c r="E49" s="8"/>
      <c r="F49" s="37"/>
      <c r="G49" s="43"/>
      <c r="I49" s="19"/>
      <c r="J49" s="8"/>
      <c r="K49" s="8"/>
      <c r="L49" s="8"/>
      <c r="M49" s="8"/>
      <c r="N49" s="8"/>
      <c r="O49" s="12"/>
    </row>
    <row r="50" spans="1:15" ht="16" customHeight="1">
      <c r="A50" s="9">
        <v>13</v>
      </c>
      <c r="B50" s="9">
        <v>26079</v>
      </c>
      <c r="C50" s="9">
        <v>24244</v>
      </c>
      <c r="D50" s="26">
        <v>7.0362999999999995E-2</v>
      </c>
      <c r="E50" s="8"/>
      <c r="F50" s="37" t="s">
        <v>19</v>
      </c>
      <c r="G50" s="43">
        <f>SUM(C37:C60)</f>
        <v>239623.15122799997</v>
      </c>
      <c r="I50" s="19"/>
      <c r="J50" s="8"/>
      <c r="K50" s="8"/>
      <c r="L50" s="8"/>
      <c r="M50" s="8"/>
      <c r="N50" s="8"/>
      <c r="O50" s="12"/>
    </row>
    <row r="51" spans="1:15">
      <c r="A51" s="9">
        <v>14</v>
      </c>
      <c r="B51" s="9">
        <v>26950</v>
      </c>
      <c r="C51" s="9">
        <v>26359</v>
      </c>
      <c r="D51" s="26">
        <v>2.1929000000000001E-2</v>
      </c>
      <c r="E51" s="8"/>
      <c r="F51" s="37"/>
      <c r="G51" s="43"/>
      <c r="I51" s="19"/>
      <c r="J51" s="8"/>
      <c r="K51" s="8"/>
      <c r="L51" s="8"/>
      <c r="M51" s="8"/>
      <c r="N51" s="8"/>
      <c r="O51" s="12"/>
    </row>
    <row r="52" spans="1:15">
      <c r="A52" s="9">
        <v>15</v>
      </c>
      <c r="B52" s="9">
        <v>25201</v>
      </c>
      <c r="C52" s="9">
        <v>25744</v>
      </c>
      <c r="D52" s="26">
        <v>2.1547E-2</v>
      </c>
      <c r="E52" s="8"/>
      <c r="F52" s="8"/>
      <c r="G52" s="12"/>
      <c r="I52" s="19"/>
      <c r="J52" s="8"/>
      <c r="K52" s="8"/>
      <c r="L52" s="8"/>
      <c r="M52" s="8"/>
      <c r="N52" s="8"/>
      <c r="O52" s="12"/>
    </row>
    <row r="53" spans="1:15">
      <c r="A53" s="9">
        <v>16</v>
      </c>
      <c r="B53" s="9">
        <v>19048</v>
      </c>
      <c r="C53" s="9">
        <v>22595.275713999999</v>
      </c>
      <c r="D53" s="26">
        <v>0.186228</v>
      </c>
      <c r="E53" s="8"/>
      <c r="F53" s="8"/>
      <c r="G53" s="12"/>
      <c r="I53" s="19"/>
      <c r="J53" s="8"/>
      <c r="K53" s="8"/>
      <c r="L53" s="8"/>
      <c r="M53" s="8"/>
      <c r="N53" s="8"/>
      <c r="O53" s="12"/>
    </row>
    <row r="54" spans="1:15">
      <c r="A54" s="9">
        <v>17</v>
      </c>
      <c r="B54" s="9">
        <v>6788</v>
      </c>
      <c r="C54" s="9">
        <v>12710.054286000001</v>
      </c>
      <c r="D54" s="26">
        <v>0.87243000000000004</v>
      </c>
      <c r="E54" s="8"/>
      <c r="F54" s="8"/>
      <c r="G54" s="12"/>
      <c r="I54" s="19"/>
      <c r="J54" s="8"/>
      <c r="K54" s="8"/>
      <c r="L54" s="8"/>
      <c r="M54" s="8"/>
      <c r="N54" s="8"/>
      <c r="O54" s="12"/>
    </row>
    <row r="55" spans="1:15">
      <c r="A55" s="9">
        <v>18</v>
      </c>
      <c r="B55" s="9">
        <v>419</v>
      </c>
      <c r="C55" s="9">
        <v>2999.7638000000002</v>
      </c>
      <c r="D55" s="26">
        <v>6.1593410000000004</v>
      </c>
      <c r="E55" s="8"/>
      <c r="F55" s="8"/>
      <c r="G55" s="12"/>
      <c r="I55" s="19"/>
      <c r="J55" s="8"/>
      <c r="K55" s="8"/>
      <c r="L55" s="8"/>
      <c r="M55" s="8"/>
      <c r="N55" s="8"/>
      <c r="O55" s="12"/>
    </row>
    <row r="56" spans="1:15">
      <c r="A56" s="9">
        <v>19</v>
      </c>
      <c r="B56" s="9">
        <v>0</v>
      </c>
      <c r="C56" s="9">
        <v>0</v>
      </c>
      <c r="D56" s="9">
        <v>0</v>
      </c>
      <c r="E56" s="8"/>
      <c r="F56" s="8"/>
      <c r="G56" s="12"/>
      <c r="I56" s="19"/>
      <c r="J56" s="8"/>
      <c r="K56" s="8"/>
      <c r="L56" s="8"/>
      <c r="M56" s="8"/>
      <c r="N56" s="8"/>
      <c r="O56" s="12"/>
    </row>
    <row r="57" spans="1:15">
      <c r="A57" s="9">
        <v>20</v>
      </c>
      <c r="B57" s="9">
        <v>0</v>
      </c>
      <c r="C57" s="9">
        <v>0</v>
      </c>
      <c r="D57" s="9">
        <v>0</v>
      </c>
      <c r="E57" s="8"/>
      <c r="F57" s="8"/>
      <c r="G57" s="12"/>
      <c r="I57" s="19"/>
      <c r="J57" s="8"/>
      <c r="K57" s="8"/>
      <c r="L57" s="8"/>
      <c r="M57" s="8"/>
      <c r="N57" s="8"/>
      <c r="O57" s="12"/>
    </row>
    <row r="58" spans="1:15">
      <c r="A58" s="9">
        <v>21</v>
      </c>
      <c r="B58" s="9">
        <v>0</v>
      </c>
      <c r="C58" s="9">
        <v>0</v>
      </c>
      <c r="D58" s="9">
        <v>0</v>
      </c>
      <c r="E58" s="8"/>
      <c r="F58" s="8"/>
      <c r="G58" s="12"/>
      <c r="I58" s="19"/>
      <c r="J58" s="8"/>
      <c r="K58" s="8"/>
      <c r="L58" s="8"/>
      <c r="M58" s="8"/>
      <c r="N58" s="8"/>
      <c r="O58" s="12"/>
    </row>
    <row r="59" spans="1:15">
      <c r="A59" s="9">
        <v>22</v>
      </c>
      <c r="B59" s="9">
        <v>0</v>
      </c>
      <c r="C59" s="9">
        <v>0</v>
      </c>
      <c r="D59" s="9">
        <v>0</v>
      </c>
      <c r="E59" s="8"/>
      <c r="F59" s="8"/>
      <c r="G59" s="12"/>
      <c r="I59" s="19"/>
      <c r="J59" s="8"/>
      <c r="K59" s="8"/>
      <c r="L59" s="8"/>
      <c r="M59" s="8"/>
      <c r="N59" s="8"/>
      <c r="O59" s="12"/>
    </row>
    <row r="60" spans="1:15">
      <c r="A60" s="9">
        <v>23</v>
      </c>
      <c r="B60" s="9">
        <v>0</v>
      </c>
      <c r="C60" s="9">
        <v>0</v>
      </c>
      <c r="D60" s="9">
        <v>0</v>
      </c>
      <c r="E60" s="13"/>
      <c r="F60" s="13"/>
      <c r="G60" s="14"/>
      <c r="I60" s="20"/>
      <c r="J60" s="13"/>
      <c r="K60" s="13"/>
      <c r="L60" s="13"/>
      <c r="M60" s="13"/>
      <c r="N60" s="13"/>
      <c r="O60" s="14"/>
    </row>
    <row r="61" spans="1:15">
      <c r="A61" s="9"/>
      <c r="B61" s="9"/>
      <c r="C61" s="9"/>
      <c r="D61" s="9"/>
    </row>
  </sheetData>
  <mergeCells count="20">
    <mergeCell ref="A1:O1"/>
    <mergeCell ref="F3:I3"/>
    <mergeCell ref="A7:G7"/>
    <mergeCell ref="I7:O7"/>
    <mergeCell ref="F8:G8"/>
    <mergeCell ref="N8:O8"/>
    <mergeCell ref="F20:F21"/>
    <mergeCell ref="G20:G21"/>
    <mergeCell ref="N20:N21"/>
    <mergeCell ref="O20:O21"/>
    <mergeCell ref="F22:F23"/>
    <mergeCell ref="G22:G23"/>
    <mergeCell ref="N22:N23"/>
    <mergeCell ref="O22:O23"/>
    <mergeCell ref="A35:G35"/>
    <mergeCell ref="F36:G36"/>
    <mergeCell ref="F48:F49"/>
    <mergeCell ref="G48:G49"/>
    <mergeCell ref="F50:F51"/>
    <mergeCell ref="G50:G51"/>
  </mergeCells>
  <pageMargins left="0.7" right="0.7" top="0.75" bottom="0.75" header="0.3" footer="0.3"/>
  <pageSetup scale="5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Chart">
                <anchor moveWithCells="1" sizeWithCells="1">
                  <from>
                    <xdr:col>15</xdr:col>
                    <xdr:colOff>63500</xdr:colOff>
                    <xdr:row>56</xdr:row>
                    <xdr:rowOff>25400</xdr:rowOff>
                  </from>
                  <to>
                    <xdr:col>17</xdr:col>
                    <xdr:colOff>139700</xdr:colOff>
                    <xdr:row>57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Chart2">
                <anchor moveWithCells="1" sizeWithCells="1">
                  <from>
                    <xdr:col>15</xdr:col>
                    <xdr:colOff>50800</xdr:colOff>
                    <xdr:row>58</xdr:row>
                    <xdr:rowOff>25400</xdr:rowOff>
                  </from>
                  <to>
                    <xdr:col>17</xdr:col>
                    <xdr:colOff>139700</xdr:colOff>
                    <xdr:row>59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31B51BB48DB9E4DB6314B02E69C6A9A" ma:contentTypeVersion="13" ma:contentTypeDescription="Crear nuevo documento." ma:contentTypeScope="" ma:versionID="49f2d672cd46c1b5499be6c29dd82916">
  <xsd:schema xmlns:xsd="http://www.w3.org/2001/XMLSchema" xmlns:xs="http://www.w3.org/2001/XMLSchema" xmlns:p="http://schemas.microsoft.com/office/2006/metadata/properties" xmlns:ns3="2c345099-e9a8-414e-965e-5bc544091c4e" xmlns:ns4="f67346b1-7118-4395-ac78-4c0d50d9b651" targetNamespace="http://schemas.microsoft.com/office/2006/metadata/properties" ma:root="true" ma:fieldsID="94511d50d6310cb4be7f8eff6bf977b2" ns3:_="" ns4:_="">
    <xsd:import namespace="2c345099-e9a8-414e-965e-5bc544091c4e"/>
    <xsd:import namespace="f67346b1-7118-4395-ac78-4c0d50d9b65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345099-e9a8-414e-965e-5bc544091c4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7346b1-7118-4395-ac78-4c0d50d9b6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4D44B8-5435-4580-9820-B8A3F37D18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345099-e9a8-414e-965e-5bc544091c4e"/>
    <ds:schemaRef ds:uri="f67346b1-7118-4395-ac78-4c0d50d9b6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AC1CF2-B9BB-40FA-8087-959CEB9C388E}">
  <ds:schemaRefs>
    <ds:schemaRef ds:uri="http://www.w3.org/XML/1998/namespace"/>
    <ds:schemaRef ds:uri="http://schemas.openxmlformats.org/package/2006/metadata/core-properties"/>
    <ds:schemaRef ds:uri="f67346b1-7118-4395-ac78-4c0d50d9b651"/>
    <ds:schemaRef ds:uri="2c345099-e9a8-414e-965e-5bc544091c4e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73AD0A0-B555-4D4D-91C7-37C12513D7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GICIS306</vt:lpstr>
      <vt:lpstr>GICIS307</vt:lpstr>
      <vt:lpstr>GICIS308</vt:lpstr>
      <vt:lpstr>GICIS309</vt:lpstr>
      <vt:lpstr>GICIS310</vt:lpstr>
      <vt:lpstr>GICIS311</vt:lpstr>
      <vt:lpstr>GICIS312</vt:lpstr>
      <vt:lpstr>GICIS313</vt:lpstr>
      <vt:lpstr>GICIS314</vt:lpstr>
      <vt:lpstr>GICIS315</vt:lpstr>
      <vt:lpstr>GICIS316</vt:lpstr>
      <vt:lpstr>GICIS317</vt:lpstr>
      <vt:lpstr>GICIS318</vt:lpstr>
      <vt:lpstr>GICIS319</vt:lpstr>
      <vt:lpstr>GICIS320</vt:lpstr>
      <vt:lpstr>GICIS321</vt:lpstr>
      <vt:lpstr>GICIS322</vt:lpstr>
      <vt:lpstr>GICIS323</vt:lpstr>
      <vt:lpstr>GICIS324</vt:lpstr>
      <vt:lpstr>GICIS325</vt:lpstr>
      <vt:lpstr>GICIS326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FLORES OROZCO, OSCAR ALFONSO</cp:lastModifiedBy>
  <dcterms:created xsi:type="dcterms:W3CDTF">2020-05-01T16:47:36Z</dcterms:created>
  <dcterms:modified xsi:type="dcterms:W3CDTF">2020-05-11T15:06:49Z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0x010100231B51BB48DB9E4DB6314B02E69C6A9A</vt:lpwstr>
  </property>
</Properties>
</file>